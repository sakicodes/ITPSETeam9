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Desktop\Assignment\SIT University\ICT2114 ITP\"/>
    </mc:Choice>
  </mc:AlternateContent>
  <xr:revisionPtr revIDLastSave="0" documentId="13_ncr:1_{B9DE62EE-BA21-42D3-BC4A-9EBDD8AB072E}" xr6:coauthVersionLast="47" xr6:coauthVersionMax="47" xr10:uidLastSave="{00000000-0000-0000-0000-000000000000}"/>
  <bookViews>
    <workbookView xWindow="28680" yWindow="-120" windowWidth="29040" windowHeight="15840" xr2:uid="{0EEAA0CB-7032-4E03-A29C-4DD264228363}"/>
  </bookViews>
  <sheets>
    <sheet name="AC Initial" sheetId="1" r:id="rId1"/>
    <sheet name="Dictionary" sheetId="6" r:id="rId2"/>
  </sheets>
  <definedNames>
    <definedName name="AgenticDict">Dictionary!$A$2:$A$177</definedName>
    <definedName name="AgenticTerm">Dictionary!$F$2:$F$155</definedName>
    <definedName name="CommunalDict">Dictionary!$B$2:$B$103</definedName>
    <definedName name="CommunalTerm">Dictionary!$G$2:$G$119</definedName>
    <definedName name="NegativeDict">Dictionary!$D$2:$D$21</definedName>
    <definedName name="NeutralDict">Dictionary!$C$2:$C$42</definedName>
    <definedName name="NeutralTerm">Dictionary!$E$2:$E$55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 l="1"/>
  <c r="Q3" i="1" l="1"/>
  <c r="Q4" i="1"/>
  <c r="Q5" i="1"/>
  <c r="Q6" i="1"/>
  <c r="Q7" i="1"/>
  <c r="Q2" i="1"/>
  <c r="J3" i="1" a="1"/>
  <c r="J3" i="1" s="1"/>
  <c r="L3" i="1" a="1"/>
  <c r="L3" i="1" s="1"/>
  <c r="O3" i="1"/>
  <c r="P3" i="1"/>
  <c r="J4" i="1" a="1"/>
  <c r="J4" i="1" s="1"/>
  <c r="L4" i="1" a="1"/>
  <c r="L4" i="1" s="1"/>
  <c r="O4" i="1"/>
  <c r="P4" i="1"/>
  <c r="J5" i="1" a="1"/>
  <c r="J5" i="1" s="1"/>
  <c r="L5" i="1" a="1"/>
  <c r="L5" i="1" s="1"/>
  <c r="O5" i="1"/>
  <c r="P5" i="1"/>
  <c r="J6" i="1" a="1"/>
  <c r="J6" i="1" s="1"/>
  <c r="K6" i="1" s="1"/>
  <c r="L6" i="1" a="1"/>
  <c r="L6" i="1" s="1"/>
  <c r="O6" i="1"/>
  <c r="P6" i="1"/>
  <c r="J7" i="1" a="1"/>
  <c r="J7" i="1" s="1"/>
  <c r="L7" i="1" a="1"/>
  <c r="L7" i="1" s="1"/>
  <c r="O7" i="1"/>
  <c r="P7" i="1"/>
  <c r="P2" i="1"/>
  <c r="M2" i="1" s="1"/>
  <c r="O2" i="1"/>
  <c r="J2" i="1" a="1"/>
  <c r="J2" i="1" s="1"/>
  <c r="S2" i="1" s="1"/>
  <c r="N7" i="1" l="1"/>
  <c r="R3" i="1"/>
  <c r="R6" i="1"/>
  <c r="M6" i="1"/>
  <c r="M3" i="1"/>
  <c r="K3" i="1"/>
  <c r="R7" i="1"/>
  <c r="K5" i="1"/>
  <c r="R2" i="1"/>
  <c r="R4" i="1"/>
  <c r="R5" i="1"/>
  <c r="M5" i="1"/>
  <c r="M7" i="1"/>
  <c r="M4" i="1"/>
  <c r="K7" i="1"/>
  <c r="K4" i="1"/>
  <c r="N6" i="1"/>
  <c r="N5" i="1"/>
  <c r="N4" i="1"/>
  <c r="N3" i="1"/>
  <c r="N2" i="1"/>
  <c r="K2" i="1"/>
  <c r="S7" i="1"/>
  <c r="S6" i="1"/>
  <c r="S5" i="1"/>
  <c r="S4" i="1"/>
  <c r="S3" i="1"/>
</calcChain>
</file>

<file path=xl/sharedStrings.xml><?xml version="1.0" encoding="utf-8"?>
<sst xmlns="http://schemas.openxmlformats.org/spreadsheetml/2006/main" count="937" uniqueCount="686">
  <si>
    <t>Base_CV_ID</t>
  </si>
  <si>
    <t>Field</t>
  </si>
  <si>
    <t>Agentic_Count</t>
  </si>
  <si>
    <t>Communal_Count</t>
  </si>
  <si>
    <t>Negative_Count</t>
  </si>
  <si>
    <t>Total_Words</t>
  </si>
  <si>
    <t>Agentic_Cover_Letter</t>
  </si>
  <si>
    <t>Communal</t>
  </si>
  <si>
    <t>Communal_Cover_Letter</t>
  </si>
  <si>
    <t>AC_Cover_Letter</t>
  </si>
  <si>
    <t>Agentic</t>
  </si>
  <si>
    <t>Neutral</t>
  </si>
  <si>
    <t>Negative</t>
  </si>
  <si>
    <t>Neutral_Term</t>
  </si>
  <si>
    <t>Agentic_Term</t>
  </si>
  <si>
    <t>Communal_Term</t>
  </si>
  <si>
    <t>This sheet is for Excel to easily detect words</t>
  </si>
  <si>
    <t xml:space="preserve"> lead</t>
  </si>
  <si>
    <t xml:space="preserve"> assist </t>
  </si>
  <si>
    <t xml:space="preserve"> application</t>
  </si>
  <si>
    <t xml:space="preserve"> domination</t>
  </si>
  <si>
    <t>Led a team</t>
  </si>
  <si>
    <t>Directed</t>
  </si>
  <si>
    <t>Guided</t>
  </si>
  <si>
    <t xml:space="preserve"> performance</t>
  </si>
  <si>
    <t xml:space="preserve"> assisted</t>
  </si>
  <si>
    <t xml:space="preserve"> attached</t>
  </si>
  <si>
    <t xml:space="preserve"> crushing</t>
  </si>
  <si>
    <t>Leading a team</t>
  </si>
  <si>
    <t>Directing</t>
  </si>
  <si>
    <t>Guiding</t>
  </si>
  <si>
    <t xml:space="preserve"> rational</t>
  </si>
  <si>
    <t xml:space="preserve"> assisting</t>
  </si>
  <si>
    <t xml:space="preserve"> budget</t>
  </si>
  <si>
    <t xml:space="preserve"> shatter goals</t>
  </si>
  <si>
    <t>Worked with others</t>
  </si>
  <si>
    <t>Spearheaded</t>
  </si>
  <si>
    <t>Mentored</t>
  </si>
  <si>
    <t xml:space="preserve"> win </t>
  </si>
  <si>
    <t xml:space="preserve"> assists</t>
  </si>
  <si>
    <t xml:space="preserve"> certification</t>
  </si>
  <si>
    <t xml:space="preserve"> dictate</t>
  </si>
  <si>
    <t>Working with others</t>
  </si>
  <si>
    <t>Spearheading</t>
  </si>
  <si>
    <t>Mentoring</t>
  </si>
  <si>
    <t xml:space="preserve"> wins</t>
  </si>
  <si>
    <t xml:space="preserve"> build </t>
  </si>
  <si>
    <t xml:space="preserve"> communication</t>
  </si>
  <si>
    <t xml:space="preserve"> conquer</t>
  </si>
  <si>
    <t>Solved a problem</t>
  </si>
  <si>
    <t>Drove</t>
  </si>
  <si>
    <t>Supported</t>
  </si>
  <si>
    <t xml:space="preserve"> achieve </t>
  </si>
  <si>
    <t xml:space="preserve"> builds</t>
  </si>
  <si>
    <t xml:space="preserve"> company</t>
  </si>
  <si>
    <t xml:space="preserve"> rule</t>
  </si>
  <si>
    <t>Solving a problem</t>
  </si>
  <si>
    <t>Driving</t>
  </si>
  <si>
    <t>Supporting</t>
  </si>
  <si>
    <t xml:space="preserve"> achieved</t>
  </si>
  <si>
    <t xml:space="preserve"> built</t>
  </si>
  <si>
    <t xml:space="preserve"> compliance</t>
  </si>
  <si>
    <t xml:space="preserve"> smash</t>
  </si>
  <si>
    <t>Communicated information</t>
  </si>
  <si>
    <t>Coordinated</t>
  </si>
  <si>
    <t>Collaborated</t>
  </si>
  <si>
    <t xml:space="preserve"> achievement</t>
  </si>
  <si>
    <t xml:space="preserve"> client </t>
  </si>
  <si>
    <t xml:space="preserve"> consideration</t>
  </si>
  <si>
    <t xml:space="preserve"> override</t>
  </si>
  <si>
    <t>Communicating information</t>
  </si>
  <si>
    <t>Coordinating</t>
  </si>
  <si>
    <t>Collaborating</t>
  </si>
  <si>
    <t xml:space="preserve"> achieving</t>
  </si>
  <si>
    <t xml:space="preserve"> clients</t>
  </si>
  <si>
    <t xml:space="preserve"> contact</t>
  </si>
  <si>
    <t xml:space="preserve"> unmatched</t>
  </si>
  <si>
    <t>Managed a project</t>
  </si>
  <si>
    <t>Orchestrated</t>
  </si>
  <si>
    <t>Partnered</t>
  </si>
  <si>
    <t xml:space="preserve"> act decisively</t>
  </si>
  <si>
    <t xml:space="preserve"> cohesion</t>
  </si>
  <si>
    <t xml:space="preserve"> customer</t>
  </si>
  <si>
    <t xml:space="preserve"> unrivaled</t>
  </si>
  <si>
    <t>Managing a project</t>
  </si>
  <si>
    <t>Orchestrating</t>
  </si>
  <si>
    <t>Partnering</t>
  </si>
  <si>
    <t xml:space="preserve"> active </t>
  </si>
  <si>
    <t xml:space="preserve"> cohesive</t>
  </si>
  <si>
    <t xml:space="preserve"> education</t>
  </si>
  <si>
    <t xml:space="preserve"> obey</t>
  </si>
  <si>
    <t>Increased sales</t>
  </si>
  <si>
    <t>Resolved</t>
  </si>
  <si>
    <t>Worked through</t>
  </si>
  <si>
    <t xml:space="preserve"> actives</t>
  </si>
  <si>
    <t xml:space="preserve"> collaborate </t>
  </si>
  <si>
    <t xml:space="preserve"> experience</t>
  </si>
  <si>
    <t xml:space="preserve"> comply</t>
  </si>
  <si>
    <t>Increasing sales</t>
  </si>
  <si>
    <t>Resolving</t>
  </si>
  <si>
    <t>Working through</t>
  </si>
  <si>
    <t xml:space="preserve"> ambition </t>
  </si>
  <si>
    <t xml:space="preserve"> collaborated</t>
  </si>
  <si>
    <t xml:space="preserve"> hiring manager</t>
  </si>
  <si>
    <t xml:space="preserve"> subordinate</t>
  </si>
  <si>
    <t>Helped customers</t>
  </si>
  <si>
    <t>Tackled</t>
  </si>
  <si>
    <t>Addressed together</t>
  </si>
  <si>
    <t xml:space="preserve"> ambitious</t>
  </si>
  <si>
    <t xml:space="preserve"> collaboration</t>
  </si>
  <si>
    <t xml:space="preserve"> industry</t>
  </si>
  <si>
    <t xml:space="preserve"> passive</t>
  </si>
  <si>
    <t>Helping customers</t>
  </si>
  <si>
    <t>Tackling</t>
  </si>
  <si>
    <t>Addressing together</t>
  </si>
  <si>
    <t xml:space="preserve"> ambitious goals</t>
  </si>
  <si>
    <t xml:space="preserve"> collaborative effort</t>
  </si>
  <si>
    <t xml:space="preserve"> information</t>
  </si>
  <si>
    <t xml:space="preserve"> rely</t>
  </si>
  <si>
    <t>Analyzed data</t>
  </si>
  <si>
    <t>Overcame</t>
  </si>
  <si>
    <t>Facilitated</t>
  </si>
  <si>
    <t xml:space="preserve"> analyse </t>
  </si>
  <si>
    <t xml:space="preserve"> collective</t>
  </si>
  <si>
    <t xml:space="preserve"> interview</t>
  </si>
  <si>
    <t xml:space="preserve"> wait</t>
  </si>
  <si>
    <t>Analyzing data</t>
  </si>
  <si>
    <t>Overcoming</t>
  </si>
  <si>
    <t>Facilitating</t>
  </si>
  <si>
    <t xml:space="preserve"> analytical</t>
  </si>
  <si>
    <t xml:space="preserve"> collective goals</t>
  </si>
  <si>
    <t xml:space="preserve"> inventory</t>
  </si>
  <si>
    <t xml:space="preserve"> agreeable</t>
  </si>
  <si>
    <t>Trained staff</t>
  </si>
  <si>
    <t>Presented</t>
  </si>
  <si>
    <t>Explained</t>
  </si>
  <si>
    <t xml:space="preserve"> analyze </t>
  </si>
  <si>
    <t xml:space="preserve"> commit </t>
  </si>
  <si>
    <t xml:space="preserve"> issue</t>
  </si>
  <si>
    <t xml:space="preserve"> served under</t>
  </si>
  <si>
    <t>Training staff</t>
  </si>
  <si>
    <t>Presenting</t>
  </si>
  <si>
    <t>Explaining</t>
  </si>
  <si>
    <t xml:space="preserve"> autonomous</t>
  </si>
  <si>
    <t xml:space="preserve"> commits</t>
  </si>
  <si>
    <t xml:space="preserve"> knowledge</t>
  </si>
  <si>
    <t xml:space="preserve"> depend </t>
  </si>
  <si>
    <t>Negotiated terms</t>
  </si>
  <si>
    <t>Persuaded</t>
  </si>
  <si>
    <t>Shared</t>
  </si>
  <si>
    <t xml:space="preserve"> autonomous professional</t>
  </si>
  <si>
    <t xml:space="preserve"> committed</t>
  </si>
  <si>
    <t xml:space="preserve"> logistics</t>
  </si>
  <si>
    <t>Negotiating terms</t>
  </si>
  <si>
    <t>Persuading</t>
  </si>
  <si>
    <t>Sharing</t>
  </si>
  <si>
    <t xml:space="preserve"> challenge </t>
  </si>
  <si>
    <t xml:space="preserve"> committing</t>
  </si>
  <si>
    <t xml:space="preserve"> operation</t>
  </si>
  <si>
    <t xml:space="preserve"> hesitant</t>
  </si>
  <si>
    <t>Improved a process</t>
  </si>
  <si>
    <t>Pitched</t>
  </si>
  <si>
    <t xml:space="preserve"> challenged</t>
  </si>
  <si>
    <t xml:space="preserve"> communicate </t>
  </si>
  <si>
    <t xml:space="preserve"> opportunity</t>
  </si>
  <si>
    <t>Improving a process</t>
  </si>
  <si>
    <t>Pitching</t>
  </si>
  <si>
    <t xml:space="preserve"> challenges</t>
  </si>
  <si>
    <t xml:space="preserve"> communicated</t>
  </si>
  <si>
    <t xml:space="preserve"> organization</t>
  </si>
  <si>
    <t>Ensured quality</t>
  </si>
  <si>
    <t xml:space="preserve"> challenging</t>
  </si>
  <si>
    <t xml:space="preserve"> communicates</t>
  </si>
  <si>
    <t xml:space="preserve"> position</t>
  </si>
  <si>
    <t>Ensuring quality</t>
  </si>
  <si>
    <t xml:space="preserve"> command </t>
  </si>
  <si>
    <t xml:space="preserve"> communicating</t>
  </si>
  <si>
    <t xml:space="preserve"> presentation</t>
  </si>
  <si>
    <t>Handled a conflict</t>
  </si>
  <si>
    <t>Executed</t>
  </si>
  <si>
    <t>Helped deliver</t>
  </si>
  <si>
    <t xml:space="preserve"> commanded</t>
  </si>
  <si>
    <t xml:space="preserve"> connect </t>
  </si>
  <si>
    <t xml:space="preserve"> process</t>
  </si>
  <si>
    <t>Handling a conflict</t>
  </si>
  <si>
    <t>Executing</t>
  </si>
  <si>
    <t>Helping deliver</t>
  </si>
  <si>
    <t xml:space="preserve"> commanding</t>
  </si>
  <si>
    <t xml:space="preserve"> connected</t>
  </si>
  <si>
    <t xml:space="preserve"> project</t>
  </si>
  <si>
    <t>Managed time effectively</t>
  </si>
  <si>
    <t>Delivered</t>
  </si>
  <si>
    <t>Built relationships</t>
  </si>
  <si>
    <t xml:space="preserve"> commands</t>
  </si>
  <si>
    <t xml:space="preserve"> connecting</t>
  </si>
  <si>
    <t xml:space="preserve"> qualification</t>
  </si>
  <si>
    <t>Managing time effectively</t>
  </si>
  <si>
    <t>Delivering</t>
  </si>
  <si>
    <t>Building relationships</t>
  </si>
  <si>
    <t xml:space="preserve"> compete </t>
  </si>
  <si>
    <t xml:space="preserve"> connects</t>
  </si>
  <si>
    <t xml:space="preserve"> qualifications</t>
  </si>
  <si>
    <t>Adapted to change</t>
  </si>
  <si>
    <t>Achieved</t>
  </si>
  <si>
    <t>Grew accounts together with</t>
  </si>
  <si>
    <t xml:space="preserve"> competed</t>
  </si>
  <si>
    <t xml:space="preserve"> contribute </t>
  </si>
  <si>
    <t xml:space="preserve"> quota</t>
  </si>
  <si>
    <t>Adapting to change</t>
  </si>
  <si>
    <t>Achieving</t>
  </si>
  <si>
    <t>Growing accounts together with</t>
  </si>
  <si>
    <t xml:space="preserve"> competetive</t>
  </si>
  <si>
    <t xml:space="preserve"> contributed</t>
  </si>
  <si>
    <t xml:space="preserve"> recognition</t>
  </si>
  <si>
    <t>Planned strategy</t>
  </si>
  <si>
    <t>Exceeded</t>
  </si>
  <si>
    <t xml:space="preserve"> competing</t>
  </si>
  <si>
    <t xml:space="preserve"> contributing</t>
  </si>
  <si>
    <t xml:space="preserve"> requirements</t>
  </si>
  <si>
    <t>Planning strategy</t>
  </si>
  <si>
    <t>Exceeding</t>
  </si>
  <si>
    <t xml:space="preserve"> confident</t>
  </si>
  <si>
    <t xml:space="preserve"> contribution</t>
  </si>
  <si>
    <t xml:space="preserve"> responsibilities</t>
  </si>
  <si>
    <t>Made decisions</t>
  </si>
  <si>
    <t>Won</t>
  </si>
  <si>
    <t>Assisted</t>
  </si>
  <si>
    <t xml:space="preserve"> consistent </t>
  </si>
  <si>
    <t xml:space="preserve"> cooperation</t>
  </si>
  <si>
    <t xml:space="preserve"> resume</t>
  </si>
  <si>
    <t>Making decisions</t>
  </si>
  <si>
    <t>Winning</t>
  </si>
  <si>
    <t>Assisting</t>
  </si>
  <si>
    <t xml:space="preserve"> consistently</t>
  </si>
  <si>
    <t xml:space="preserve"> cooperative</t>
  </si>
  <si>
    <t xml:space="preserve"> review</t>
  </si>
  <si>
    <t>Used technical skills</t>
  </si>
  <si>
    <t>Resolved customer issues</t>
  </si>
  <si>
    <t>Cared for</t>
  </si>
  <si>
    <t xml:space="preserve"> creative </t>
  </si>
  <si>
    <t xml:space="preserve"> cooperative spirit</t>
  </si>
  <si>
    <t xml:space="preserve"> role</t>
  </si>
  <si>
    <t>Using technical skills</t>
  </si>
  <si>
    <t>Resolving customer issues</t>
  </si>
  <si>
    <t>Caring for</t>
  </si>
  <si>
    <t xml:space="preserve"> creativity</t>
  </si>
  <si>
    <t xml:space="preserve"> dedicate </t>
  </si>
  <si>
    <t xml:space="preserve"> schedule</t>
  </si>
  <si>
    <t>Handled a crisis</t>
  </si>
  <si>
    <t>Delivered results for clients</t>
  </si>
  <si>
    <t>Interpreted for the team</t>
  </si>
  <si>
    <t xml:space="preserve"> decision </t>
  </si>
  <si>
    <t xml:space="preserve"> dedicated</t>
  </si>
  <si>
    <t xml:space="preserve"> skills</t>
  </si>
  <si>
    <t>Handling a crisis</t>
  </si>
  <si>
    <t>Delivering results for clients</t>
  </si>
  <si>
    <t>Interpreting for the team</t>
  </si>
  <si>
    <t xml:space="preserve"> decisive </t>
  </si>
  <si>
    <t xml:space="preserve"> dedicating</t>
  </si>
  <si>
    <t xml:space="preserve"> software</t>
  </si>
  <si>
    <t>Gave presentations</t>
  </si>
  <si>
    <t>Identified</t>
  </si>
  <si>
    <t>Translated for stakeholders</t>
  </si>
  <si>
    <t xml:space="preserve"> decisively</t>
  </si>
  <si>
    <t xml:space="preserve"> dedication</t>
  </si>
  <si>
    <t xml:space="preserve"> technology</t>
  </si>
  <si>
    <t>Giving presentations</t>
  </si>
  <si>
    <t>Identifying</t>
  </si>
  <si>
    <t>Translating for stakeholders</t>
  </si>
  <si>
    <t xml:space="preserve"> deliver </t>
  </si>
  <si>
    <t xml:space="preserve"> develop alongside</t>
  </si>
  <si>
    <t xml:space="preserve"> vendor</t>
  </si>
  <si>
    <t>Raised funds</t>
  </si>
  <si>
    <t>Uncovered</t>
  </si>
  <si>
    <t xml:space="preserve"> delivering</t>
  </si>
  <si>
    <t xml:space="preserve"> develop with</t>
  </si>
  <si>
    <t xml:space="preserve"> </t>
  </si>
  <si>
    <t>Raising funds</t>
  </si>
  <si>
    <t>Uncovering</t>
  </si>
  <si>
    <t xml:space="preserve"> delivers</t>
  </si>
  <si>
    <t xml:space="preserve"> developing alongside</t>
  </si>
  <si>
    <t>Conducted research</t>
  </si>
  <si>
    <t>Optimized</t>
  </si>
  <si>
    <t>Coached</t>
  </si>
  <si>
    <t xml:space="preserve"> determination</t>
  </si>
  <si>
    <t xml:space="preserve"> developing alongside the team</t>
  </si>
  <si>
    <t>Conducting research</t>
  </si>
  <si>
    <t>Optimizing</t>
  </si>
  <si>
    <t>Coaching</t>
  </si>
  <si>
    <t xml:space="preserve"> determined</t>
  </si>
  <si>
    <t xml:space="preserve"> developing with</t>
  </si>
  <si>
    <t>Delegated tasks</t>
  </si>
  <si>
    <t>Developed</t>
  </si>
  <si>
    <t>Nurtured</t>
  </si>
  <si>
    <t xml:space="preserve"> direct </t>
  </si>
  <si>
    <t xml:space="preserve"> foster </t>
  </si>
  <si>
    <t>Delegating tasks</t>
  </si>
  <si>
    <t>Developing</t>
  </si>
  <si>
    <t>Nurturing</t>
  </si>
  <si>
    <t xml:space="preserve"> directed</t>
  </si>
  <si>
    <t xml:space="preserve"> fostered</t>
  </si>
  <si>
    <t>Worked across teams</t>
  </si>
  <si>
    <t>Built a training program</t>
  </si>
  <si>
    <t>Reached agreement together</t>
  </si>
  <si>
    <t xml:space="preserve"> directing</t>
  </si>
  <si>
    <t xml:space="preserve"> fostering</t>
  </si>
  <si>
    <t>Working across teams</t>
  </si>
  <si>
    <t>Building a training program</t>
  </si>
  <si>
    <t>Reaching agreement together</t>
  </si>
  <si>
    <t xml:space="preserve"> directs</t>
  </si>
  <si>
    <t xml:space="preserve"> fostering harmony</t>
  </si>
  <si>
    <t>Managed change</t>
  </si>
  <si>
    <t>Negotiated</t>
  </si>
  <si>
    <t>Aligned interests</t>
  </si>
  <si>
    <t xml:space="preserve"> drive to</t>
  </si>
  <si>
    <t xml:space="preserve"> harmonise </t>
  </si>
  <si>
    <t>Managing change</t>
  </si>
  <si>
    <t>Negotiating</t>
  </si>
  <si>
    <t>Aligning interests</t>
  </si>
  <si>
    <t xml:space="preserve"> driven </t>
  </si>
  <si>
    <t xml:space="preserve"> harmonize </t>
  </si>
  <si>
    <t>Designed solutions</t>
  </si>
  <si>
    <t>Secured</t>
  </si>
  <si>
    <t>Improved together with the team</t>
  </si>
  <si>
    <t xml:space="preserve"> dynamic</t>
  </si>
  <si>
    <t xml:space="preserve"> harmony </t>
  </si>
  <si>
    <t>Designing solutions</t>
  </si>
  <si>
    <t>Securing</t>
  </si>
  <si>
    <t>Improving together with the team</t>
  </si>
  <si>
    <t xml:space="preserve"> dynamics</t>
  </si>
  <si>
    <t xml:space="preserve"> interpersonal</t>
  </si>
  <si>
    <t>Managed a budget</t>
  </si>
  <si>
    <t>Closed</t>
  </si>
  <si>
    <t>Co-developed</t>
  </si>
  <si>
    <t xml:space="preserve"> effective </t>
  </si>
  <si>
    <t xml:space="preserve"> inter-personal</t>
  </si>
  <si>
    <t>Managing a budget</t>
  </si>
  <si>
    <t>Closing</t>
  </si>
  <si>
    <t>Co-developing</t>
  </si>
  <si>
    <t xml:space="preserve"> effectively</t>
  </si>
  <si>
    <t xml:space="preserve"> interpersonally</t>
  </si>
  <si>
    <t>Pioneered</t>
  </si>
  <si>
    <t>Upheld together</t>
  </si>
  <si>
    <t xml:space="preserve"> efficiency</t>
  </si>
  <si>
    <t xml:space="preserve"> joint </t>
  </si>
  <si>
    <t>Pioneering</t>
  </si>
  <si>
    <t>Upholding together</t>
  </si>
  <si>
    <t xml:space="preserve"> efficient </t>
  </si>
  <si>
    <t xml:space="preserve"> jointly</t>
  </si>
  <si>
    <t>Launched</t>
  </si>
  <si>
    <t>Supported consistency across the team</t>
  </si>
  <si>
    <t xml:space="preserve"> efficiently</t>
  </si>
  <si>
    <t xml:space="preserve"> long term </t>
  </si>
  <si>
    <t>Launching</t>
  </si>
  <si>
    <t>Supporting consistency across the team</t>
  </si>
  <si>
    <t xml:space="preserve"> execute </t>
  </si>
  <si>
    <t xml:space="preserve"> long-term</t>
  </si>
  <si>
    <t>Initiated</t>
  </si>
  <si>
    <t>Mediated</t>
  </si>
  <si>
    <t xml:space="preserve"> executed</t>
  </si>
  <si>
    <t xml:space="preserve"> motivate by</t>
  </si>
  <si>
    <t>Initiating</t>
  </si>
  <si>
    <t>Mediating</t>
  </si>
  <si>
    <t xml:space="preserve"> executes</t>
  </si>
  <si>
    <t xml:space="preserve"> motivate from</t>
  </si>
  <si>
    <t>Enforced</t>
  </si>
  <si>
    <t>Brought people together</t>
  </si>
  <si>
    <t xml:space="preserve"> executing</t>
  </si>
  <si>
    <t xml:space="preserve"> motivated by</t>
  </si>
  <si>
    <t>Enforcing</t>
  </si>
  <si>
    <t>Bringing people together</t>
  </si>
  <si>
    <t xml:space="preserve"> execution</t>
  </si>
  <si>
    <t xml:space="preserve"> motivated with</t>
  </si>
  <si>
    <t>Owned</t>
  </si>
  <si>
    <t>Balanced</t>
  </si>
  <si>
    <t xml:space="preserve"> forecast </t>
  </si>
  <si>
    <t xml:space="preserve"> motivating with</t>
  </si>
  <si>
    <t>Owning</t>
  </si>
  <si>
    <t>Balancing</t>
  </si>
  <si>
    <t xml:space="preserve"> forecasted</t>
  </si>
  <si>
    <t xml:space="preserve"> motivation from</t>
  </si>
  <si>
    <t>Held accountable</t>
  </si>
  <si>
    <t>Coordinated with the team</t>
  </si>
  <si>
    <t xml:space="preserve"> forecasting</t>
  </si>
  <si>
    <t xml:space="preserve"> mutual </t>
  </si>
  <si>
    <t>Holding accountable</t>
  </si>
  <si>
    <t>Coordinating with the team</t>
  </si>
  <si>
    <t xml:space="preserve"> forecasts</t>
  </si>
  <si>
    <t xml:space="preserve"> mutual trust</t>
  </si>
  <si>
    <t>Stayed flexible for the team</t>
  </si>
  <si>
    <t xml:space="preserve"> goal </t>
  </si>
  <si>
    <t xml:space="preserve"> overarching</t>
  </si>
  <si>
    <t>Staying flexible for the team</t>
  </si>
  <si>
    <t xml:space="preserve"> goals</t>
  </si>
  <si>
    <t xml:space="preserve"> overarching success</t>
  </si>
  <si>
    <t>Took charge of the situation</t>
  </si>
  <si>
    <t>Adjusted alongside others</t>
  </si>
  <si>
    <t xml:space="preserve"> highly motivated</t>
  </si>
  <si>
    <t xml:space="preserve"> overarching-success</t>
  </si>
  <si>
    <t>Taking charge of the situation</t>
  </si>
  <si>
    <t>Adjusting alongside others</t>
  </si>
  <si>
    <t xml:space="preserve"> highly-motivated</t>
  </si>
  <si>
    <t xml:space="preserve"> partner</t>
  </si>
  <si>
    <t>Prioritized</t>
  </si>
  <si>
    <t>Helped shape</t>
  </si>
  <si>
    <t xml:space="preserve"> implement </t>
  </si>
  <si>
    <t xml:space="preserve"> partnered</t>
  </si>
  <si>
    <t>Prioritizing</t>
  </si>
  <si>
    <t>Helping shape</t>
  </si>
  <si>
    <t xml:space="preserve"> implementation</t>
  </si>
  <si>
    <t xml:space="preserve"> partners</t>
  </si>
  <si>
    <t>Streamlined</t>
  </si>
  <si>
    <t>Contributed to</t>
  </si>
  <si>
    <t xml:space="preserve"> implemented</t>
  </si>
  <si>
    <t xml:space="preserve"> relation </t>
  </si>
  <si>
    <t>Streamlining</t>
  </si>
  <si>
    <t>Contributing to</t>
  </si>
  <si>
    <t xml:space="preserve"> implementing</t>
  </si>
  <si>
    <t xml:space="preserve"> relational</t>
  </si>
  <si>
    <t>Weighed in</t>
  </si>
  <si>
    <t xml:space="preserve"> implements</t>
  </si>
  <si>
    <t xml:space="preserve"> relationship</t>
  </si>
  <si>
    <t>Weighing in</t>
  </si>
  <si>
    <t xml:space="preserve"> independent judgment</t>
  </si>
  <si>
    <t xml:space="preserve"> satisfaction</t>
  </si>
  <si>
    <t>Pivoted</t>
  </si>
  <si>
    <t>Helped decide together</t>
  </si>
  <si>
    <t xml:space="preserve"> satisfactory</t>
  </si>
  <si>
    <t>Pivoting</t>
  </si>
  <si>
    <t>Helping decide together</t>
  </si>
  <si>
    <t xml:space="preserve"> independently</t>
  </si>
  <si>
    <t xml:space="preserve"> satisfied</t>
  </si>
  <si>
    <t>Adjusted course</t>
  </si>
  <si>
    <t xml:space="preserve"> individual </t>
  </si>
  <si>
    <t xml:space="preserve"> service </t>
  </si>
  <si>
    <t>Adjusting course</t>
  </si>
  <si>
    <t xml:space="preserve"> individual skills</t>
  </si>
  <si>
    <t xml:space="preserve"> services</t>
  </si>
  <si>
    <t>Navigated</t>
  </si>
  <si>
    <t>Supported the build of</t>
  </si>
  <si>
    <t xml:space="preserve"> individually</t>
  </si>
  <si>
    <t xml:space="preserve"> share </t>
  </si>
  <si>
    <t>Navigating</t>
  </si>
  <si>
    <t>Supporting the build of</t>
  </si>
  <si>
    <t xml:space="preserve"> individuals</t>
  </si>
  <si>
    <t xml:space="preserve"> shared</t>
  </si>
  <si>
    <t>Defined</t>
  </si>
  <si>
    <t>Rallied the team</t>
  </si>
  <si>
    <t xml:space="preserve"> initiative </t>
  </si>
  <si>
    <t xml:space="preserve"> shared endeavor</t>
  </si>
  <si>
    <t>Defining</t>
  </si>
  <si>
    <t>Rallying the team</t>
  </si>
  <si>
    <t xml:space="preserve"> innovate </t>
  </si>
  <si>
    <t xml:space="preserve"> shares</t>
  </si>
  <si>
    <t>Shaped</t>
  </si>
  <si>
    <t>Helped steady</t>
  </si>
  <si>
    <t xml:space="preserve"> innovated</t>
  </si>
  <si>
    <t xml:space="preserve"> sharing</t>
  </si>
  <si>
    <t>Shaping</t>
  </si>
  <si>
    <t>Helping steady</t>
  </si>
  <si>
    <t xml:space="preserve"> innovates</t>
  </si>
  <si>
    <t xml:space="preserve"> sincere </t>
  </si>
  <si>
    <t>Set the direction for</t>
  </si>
  <si>
    <t>Engaged</t>
  </si>
  <si>
    <t xml:space="preserve"> innovating</t>
  </si>
  <si>
    <t xml:space="preserve"> sincerely</t>
  </si>
  <si>
    <t>Setting the direction for</t>
  </si>
  <si>
    <t>Engaging</t>
  </si>
  <si>
    <t xml:space="preserve"> innovation</t>
  </si>
  <si>
    <t xml:space="preserve"> support </t>
  </si>
  <si>
    <t>Decided</t>
  </si>
  <si>
    <t>Connected with the audience together</t>
  </si>
  <si>
    <t xml:space="preserve"> innovative</t>
  </si>
  <si>
    <t xml:space="preserve"> supporting</t>
  </si>
  <si>
    <t>Deciding</t>
  </si>
  <si>
    <t>Connecting with the audience together</t>
  </si>
  <si>
    <t xml:space="preserve"> insight </t>
  </si>
  <si>
    <t xml:space="preserve"> supportive</t>
  </si>
  <si>
    <t>Determined</t>
  </si>
  <si>
    <t>Built donor relationships</t>
  </si>
  <si>
    <t xml:space="preserve"> insightful</t>
  </si>
  <si>
    <t xml:space="preserve"> team </t>
  </si>
  <si>
    <t>Determining</t>
  </si>
  <si>
    <t>Building donor relationships</t>
  </si>
  <si>
    <t xml:space="preserve"> insights</t>
  </si>
  <si>
    <t xml:space="preserve"> team player</t>
  </si>
  <si>
    <t>Chose</t>
  </si>
  <si>
    <t>Rallied support</t>
  </si>
  <si>
    <t xml:space="preserve"> leader </t>
  </si>
  <si>
    <t xml:space="preserve"> team-player</t>
  </si>
  <si>
    <t>Choosing</t>
  </si>
  <si>
    <t>Rallying support</t>
  </si>
  <si>
    <t xml:space="preserve"> leaders</t>
  </si>
  <si>
    <t xml:space="preserve"> teams</t>
  </si>
  <si>
    <t>Built</t>
  </si>
  <si>
    <t>Explored together</t>
  </si>
  <si>
    <t xml:space="preserve"> leading</t>
  </si>
  <si>
    <t xml:space="preserve"> trust </t>
  </si>
  <si>
    <t>Building</t>
  </si>
  <si>
    <t>Exploring together</t>
  </si>
  <si>
    <t xml:space="preserve"> leverage </t>
  </si>
  <si>
    <t xml:space="preserve"> trusted</t>
  </si>
  <si>
    <t>Engineered</t>
  </si>
  <si>
    <t>Synthesized for the team</t>
  </si>
  <si>
    <t xml:space="preserve"> leveraged</t>
  </si>
  <si>
    <t xml:space="preserve"> trusts</t>
  </si>
  <si>
    <t>Engineering</t>
  </si>
  <si>
    <t>Synthesizing for the team</t>
  </si>
  <si>
    <t xml:space="preserve"> leverages</t>
  </si>
  <si>
    <t xml:space="preserve"> understand </t>
  </si>
  <si>
    <t>Architected</t>
  </si>
  <si>
    <t>Distributed fairly</t>
  </si>
  <si>
    <t xml:space="preserve"> leveraging</t>
  </si>
  <si>
    <t xml:space="preserve"> understanding</t>
  </si>
  <si>
    <t>Architecting</t>
  </si>
  <si>
    <t>Distributing fairly</t>
  </si>
  <si>
    <t xml:space="preserve"> manage </t>
  </si>
  <si>
    <t xml:space="preserve"> understands</t>
  </si>
  <si>
    <t>Took control of</t>
  </si>
  <si>
    <t>Supported the team in</t>
  </si>
  <si>
    <t xml:space="preserve"> managed</t>
  </si>
  <si>
    <t xml:space="preserve"> understood</t>
  </si>
  <si>
    <t>Taking control of</t>
  </si>
  <si>
    <t>Supporting the team in</t>
  </si>
  <si>
    <t xml:space="preserve"> manages</t>
  </si>
  <si>
    <t>Contained</t>
  </si>
  <si>
    <t>Connected</t>
  </si>
  <si>
    <t xml:space="preserve"> managing</t>
  </si>
  <si>
    <t>Containing</t>
  </si>
  <si>
    <t>Connecting</t>
  </si>
  <si>
    <t xml:space="preserve"> master </t>
  </si>
  <si>
    <t>Brought together</t>
  </si>
  <si>
    <t xml:space="preserve"> mastered</t>
  </si>
  <si>
    <t>Bringing together</t>
  </si>
  <si>
    <t xml:space="preserve"> masters</t>
  </si>
  <si>
    <t xml:space="preserve"> objective </t>
  </si>
  <si>
    <t xml:space="preserve"> objectives</t>
  </si>
  <si>
    <t>Commanded</t>
  </si>
  <si>
    <t>Helped ease the transition for</t>
  </si>
  <si>
    <t xml:space="preserve"> optimisation</t>
  </si>
  <si>
    <t>Commanding</t>
  </si>
  <si>
    <t>Helping ease the transition for</t>
  </si>
  <si>
    <t xml:space="preserve"> optimise </t>
  </si>
  <si>
    <t>Captivated</t>
  </si>
  <si>
    <t>Co-created</t>
  </si>
  <si>
    <t xml:space="preserve"> optimised</t>
  </si>
  <si>
    <t>Captivating</t>
  </si>
  <si>
    <t>Co-creating</t>
  </si>
  <si>
    <t xml:space="preserve"> optimising</t>
  </si>
  <si>
    <t>Shaped with input from</t>
  </si>
  <si>
    <t xml:space="preserve"> optimization</t>
  </si>
  <si>
    <t>Shaping with input from</t>
  </si>
  <si>
    <t xml:space="preserve"> optimize performance</t>
  </si>
  <si>
    <t>Coordinated with stakeholders on</t>
  </si>
  <si>
    <t xml:space="preserve"> optimized</t>
  </si>
  <si>
    <t>Coordinating with stakeholders on</t>
  </si>
  <si>
    <t xml:space="preserve"> optimizing</t>
  </si>
  <si>
    <t>Balanced together</t>
  </si>
  <si>
    <t xml:space="preserve"> outcome </t>
  </si>
  <si>
    <t>Balancing together</t>
  </si>
  <si>
    <t xml:space="preserve"> overcame</t>
  </si>
  <si>
    <t>Investigated</t>
  </si>
  <si>
    <t xml:space="preserve"> overcome</t>
  </si>
  <si>
    <t>Investigating</t>
  </si>
  <si>
    <t xml:space="preserve"> overcoming</t>
  </si>
  <si>
    <t xml:space="preserve"> overcoming challenges</t>
  </si>
  <si>
    <t xml:space="preserve"> perform </t>
  </si>
  <si>
    <t xml:space="preserve"> performed</t>
  </si>
  <si>
    <t xml:space="preserve"> performing</t>
  </si>
  <si>
    <t>Assigned</t>
  </si>
  <si>
    <t xml:space="preserve"> pioneer </t>
  </si>
  <si>
    <t>Assigning</t>
  </si>
  <si>
    <t xml:space="preserve"> pioneered</t>
  </si>
  <si>
    <t>Empowered</t>
  </si>
  <si>
    <t xml:space="preserve"> pioneering</t>
  </si>
  <si>
    <t>Empowering</t>
  </si>
  <si>
    <t xml:space="preserve"> power </t>
  </si>
  <si>
    <t xml:space="preserve"> powered</t>
  </si>
  <si>
    <t xml:space="preserve"> powers</t>
  </si>
  <si>
    <t>Aligned</t>
  </si>
  <si>
    <t xml:space="preserve"> practical </t>
  </si>
  <si>
    <t>Aligning</t>
  </si>
  <si>
    <t xml:space="preserve"> proactive </t>
  </si>
  <si>
    <t>Unified</t>
  </si>
  <si>
    <t xml:space="preserve"> proactively</t>
  </si>
  <si>
    <t>Unifying</t>
  </si>
  <si>
    <t xml:space="preserve"> problem solving</t>
  </si>
  <si>
    <t>Bridged</t>
  </si>
  <si>
    <t xml:space="preserve"> problem-solving</t>
  </si>
  <si>
    <t>Bridging</t>
  </si>
  <si>
    <t xml:space="preserve"> promote </t>
  </si>
  <si>
    <t>Led</t>
  </si>
  <si>
    <t xml:space="preserve"> promoted</t>
  </si>
  <si>
    <t>Leading</t>
  </si>
  <si>
    <t xml:space="preserve"> promotes</t>
  </si>
  <si>
    <t xml:space="preserve"> qualities </t>
  </si>
  <si>
    <t xml:space="preserve"> quality </t>
  </si>
  <si>
    <t>Championed</t>
  </si>
  <si>
    <t xml:space="preserve"> results </t>
  </si>
  <si>
    <t>Championing</t>
  </si>
  <si>
    <t xml:space="preserve"> results-oriented</t>
  </si>
  <si>
    <t>Created</t>
  </si>
  <si>
    <t xml:space="preserve"> risk </t>
  </si>
  <si>
    <t>Creating</t>
  </si>
  <si>
    <t xml:space="preserve"> risked</t>
  </si>
  <si>
    <t>Invented</t>
  </si>
  <si>
    <t xml:space="preserve"> risking</t>
  </si>
  <si>
    <t>Inventing</t>
  </si>
  <si>
    <t xml:space="preserve"> risks</t>
  </si>
  <si>
    <t>Reimagined</t>
  </si>
  <si>
    <t xml:space="preserve"> self motivated</t>
  </si>
  <si>
    <t>Reimagining</t>
  </si>
  <si>
    <t xml:space="preserve"> self-motivated</t>
  </si>
  <si>
    <t>Controlled</t>
  </si>
  <si>
    <t xml:space="preserve"> solution </t>
  </si>
  <si>
    <t>Controlling</t>
  </si>
  <si>
    <t xml:space="preserve"> solution to</t>
  </si>
  <si>
    <t>Allocated</t>
  </si>
  <si>
    <t xml:space="preserve"> solutions</t>
  </si>
  <si>
    <t>Allocating</t>
  </si>
  <si>
    <t xml:space="preserve"> solutions to</t>
  </si>
  <si>
    <t>Maximized</t>
  </si>
  <si>
    <t xml:space="preserve"> specialise </t>
  </si>
  <si>
    <t>Maximizing</t>
  </si>
  <si>
    <t xml:space="preserve"> specialised</t>
  </si>
  <si>
    <t xml:space="preserve"> specialist </t>
  </si>
  <si>
    <t xml:space="preserve"> specialists</t>
  </si>
  <si>
    <t xml:space="preserve"> specialize </t>
  </si>
  <si>
    <t xml:space="preserve"> specialized</t>
  </si>
  <si>
    <t xml:space="preserve"> specialized expertise</t>
  </si>
  <si>
    <t xml:space="preserve"> strategic </t>
  </si>
  <si>
    <t xml:space="preserve"> strategies</t>
  </si>
  <si>
    <t xml:space="preserve"> strategise</t>
  </si>
  <si>
    <t xml:space="preserve"> strategize</t>
  </si>
  <si>
    <t xml:space="preserve"> strategy </t>
  </si>
  <si>
    <t xml:space="preserve"> taking initiative</t>
  </si>
  <si>
    <t xml:space="preserve"> target </t>
  </si>
  <si>
    <t xml:space="preserve"> targeted</t>
  </si>
  <si>
    <t xml:space="preserve"> targeting</t>
  </si>
  <si>
    <t xml:space="preserve"> targets</t>
  </si>
  <si>
    <t xml:space="preserve"> thrive </t>
  </si>
  <si>
    <t xml:space="preserve"> thrived</t>
  </si>
  <si>
    <t xml:space="preserve"> thrives</t>
  </si>
  <si>
    <t xml:space="preserve"> thriving</t>
  </si>
  <si>
    <t xml:space="preserve"> winning</t>
  </si>
  <si>
    <t xml:space="preserve"> won</t>
  </si>
  <si>
    <t>Agentic_Density</t>
  </si>
  <si>
    <t>Communal_Density</t>
  </si>
  <si>
    <t>Sales / Business Development</t>
  </si>
  <si>
    <t>Procurement / Sourcing / Supply Chain</t>
  </si>
  <si>
    <t>Project Management / Programme Management</t>
  </si>
  <si>
    <t>AC_equivalence</t>
  </si>
  <si>
    <t>Mean_Length</t>
  </si>
  <si>
    <t>Count_Percentage</t>
  </si>
  <si>
    <t>AC_Density</t>
  </si>
  <si>
    <t>ACCAACC</t>
  </si>
  <si>
    <t>CCACA</t>
  </si>
  <si>
    <t>Total_Eligible_Sentences</t>
  </si>
  <si>
    <t>Eligible_Sentence_ID</t>
  </si>
  <si>
    <t>2, 3, 4, 5, 6, 7, 8</t>
  </si>
  <si>
    <t>3, 4, 5, 6, 8</t>
  </si>
  <si>
    <t>3, 4, 5, 6, 7</t>
  </si>
  <si>
    <t>Assignment</t>
  </si>
  <si>
    <t>Global_Seed</t>
  </si>
  <si>
    <t>Dear Hiring Manager,
This letter is in reference to the Logistics Coordinator role currently available within your organization. My background includes technical training and joint experience in supply chain tracking, logistics, and inventory management.
My professional focus is on maintaining stable, supportive workflow processes. In my last position, I monitored inventory levels, shipment schedules, and tracking data in coordination with the team using in-house logistics software. When discrepancies arose, I worked with warehouse and transport colleagues to trace each variance to its source and resolve it. I worked with others with a cooperative spirit from warehouse operations and transportation to ensure that physical stock levels aligned exactly with system requirements.
My qualifications are outlined in detail in the attached resume. Please feel free to contact me via the information provided to schedule a discussion regarding this position.
Thank you for your review and consideration.
Sincerely,
[Your Name]</t>
  </si>
  <si>
    <t>Dear Hiring Manager,
This letter is in reference to the Logistics Coordinator role currently available within your organization. My background includes strong technical training and experience in supply chain tracking, logistics, and inventory management.
My professional focus is on executing high-caliber, driven workflow processes. In my last position, I independently monitored inventory levels, shipment schedules, and tracking data using in-house logistics software. When discrepancies arose, I took the initiative to trace each variance to its source and resolve it. I executed tasks with others from warehouse operations and transportation to ensure that physical stock levels aligned exactly with system requirements.
My qualifications are outlined in detail in the attached resume. Please feel free to contact me via the information provided to schedule a discussion regarding this position.
Thank you for your review and consideration.
Regards,
[Your Name]</t>
  </si>
  <si>
    <t>Dear Hiring Manager,
Please accept my application for the Programme Coordinator role within your organization. With a professional background in project management office (PMO) operations, I collaborated with my team with processes that required to monitor concurrent project workstreams.
My experience with connecting with the previous company taught me tracking program schedules, supporting operational metrics, and verifying that project outputs satisfy formal compliance requirements. I routinely assisted with data to generate accurate status reports for the organization. In this role, I worked alongside the team across different project departments and communicated information regarding standard operating procedures to maintain consistency in scheduling and documentation formats.
My resume is attached for your comprehensive review. I am available for an interview to share how my technical qualifications and administrative experience align with your current project requirements.
Thank you for your consideration.
Sincerely,
[Your Name]</t>
  </si>
  <si>
    <t>Dear Hiring Manager,
I am writing to submit my application for the Sales Executive position at your company. With my collection of education and work experience in business development and customer management, I look forward dedicating myself to fulfill the responsibilities of this role.
In my previous position, I worked closely with colleagues alongside the team, tracking regional industry metrics, and to follow the established sales process, helping the team meet the quarterly quota. I utilize standard CRM software to log operational data, address issues together, and ensure that specific client requirements are supported and documented. My collaborative approach with communication focuses on explaining clear product presentations and sharing technical information to help partner stakeholders consider their purchasing actions.
Enclosed is my resume, which shares additional details regarding my qualifications and skills. I welcome the opportunity for an interview to explore how my relational skills will support your organization.
Thank you for your time and consideration.
Sincerely,
[Your Name]</t>
  </si>
  <si>
    <t>Dear Hiring Manager,
I am writing to express my strong interest in the Sales Executive position at your company. As a professional specialized in market expansion and customer management, I am eager to take full ownership of the operational responsibilities outlined for this role.
In my previous position,I took ownership of managing customer accounts, tracking regional industry metrics, and following the established sales process, helping the team meet the quarterly quota. I leverage standard CRM software to optimize operational data, resolve complex issues, and ensure that specific customer requirements are accurately documented. My proactive approach with communication focuses on presenting clear product presentations and delivering technical information to help stakeholders execute their purchasing action.
Enclosed is my resume, which delivers additional details regarding my qualifications and specialization. I welcome the opportunity for an interview to demonstrate how my expertise will bring immediate value to your organization.
Thank you for your time and consideration.
Regards,
[Your Name]</t>
  </si>
  <si>
    <t>Dear Hiring Manager,
Please accept this application for the Business Development Specialist role currently open within your organization. I have established specialized expertise in the commercial sector, where I have strategically spent several years identifying industry growth paths and monitoring market developments.
My experience includes managing customer acquisition processes, conducting systematic reviews of industry data, and managing direct communication across internal and external groups. In my last assignment, I took ownership of identifying alignment between our product specifications and specific customer requirements, driving the workflow from initial contract discussions to final signing. I am accustomed to leveraging performance tracking software and technology to report on account status and deliver operational information to the organization.
I have attached my resume for your comprehensive review. I look forward to the possibility of a follow-up contact to schedule a discussion regarding my qualifications for this position.
Regards,
[Your Name]</t>
  </si>
  <si>
    <t>Dear Hiring Manager,
Please accept this application for the Business Development Specialist role currently open within your organization. I have built relevant experience in the commercial sector, where I have dedicated several years identifying industry growth paths and monitoring market developments.
My experience includes supporting customer acquisition processes, conducting systematic reviews of industry data, and connect across internal and external teams with professional communication. In my last assignment, I was responsible for building alignment between our product specifications and specific client requirements, coordinating with colleagues throughout the workflow from initial contract discussions to final signing. I am accustomed to using performance tracking software and technology to connect on account status and provide helpful information to the organization.
I have attached my resume for your comprehensive review. I look forward to the possibility of a follow-up contact to schedule a discussion and share my qualifications for this position.
Sincerely,
[Your Name]</t>
  </si>
  <si>
    <t>Dear Hiring Manager,
I am writing to apply for the Procurement Officer position at your company. I have built a background in supply chain activities, with dedicated experience working with vendor, contract administration, and compliance monitoring.
In my previous role, I was responsible for working standard procurement processes, including verifying vendor qualifications and supporting adherence to technical requirements. I regularly checked data during pricing reviews alongside internal teams to ensure purchases remained within the collective budget. Additionally, I collaborated to reach an agreement for commercial contracts and built trust across all supplier products to maintain full compliance with internal operating policies.
My attached resume details my formal credentials and specific experience with enterprise resource planning software. I would welcome the opportunity to connect with you and discuss how my qualifications meet the current operational needs of your organization.
Thank you for your time and consideration.
Sincerely,
[Your Name]</t>
  </si>
  <si>
    <t>Dear Hiring Manager,
I am writing to apply for the Procurement Officer position at your company. I have driven a strategic background in supply chain activities, with specialized expertise working with vendor, contract administration, and compliance monitoring.
In my previous role, I took ownership of executing standard procurement processes, including verifying vendor qualifications and tracking adherence to strict technical requirements. I consistently checked data during pricing reviews to optimize performance and ensure purchases remained within the allocated departmental budget. Additionally, I negotiated terms for commercial agreements and managed quality across all supplier products to maintain full compliance with internal operating policies.
My attached resume details my formal credentials and specific experience with enterprise resource planning software. I would welcome the opportunity to deliver my qualifications meet the current operational needs of your organization in detail.
Thank you for your time and consideration.
Regards,
[Your Name]</t>
  </si>
  <si>
    <t>Dear Hiring Manager,
I am writing to express my interest in the Project Manager position at your company. I possess experience in corporate administration, where I collaborated with my colleagues to ensure project deliverables, budgets, and project timelines are accurate and maintained.
Throughout my career, I have successfully looked after a project workflow as a collaborative effort from initial scope definition through to completion based on documented requirements. My daily tasks include updating main project schedules and tracking resource allocation alongside the team using tracking software. In my previous assignments, I led a cohesive team of technical personnel and ensured supportive work across all milestones by adhering strictly to formal testing and verification compliance frameworks. My background includes specific certification in standard project methodologies.
Please find my resume attached, which outlines my contribution, qualifications, and specific industry projects. I sincerely appreciate your consideration and look forward to discussing the parameters of this role.
Sincerely,
[Your Name]</t>
  </si>
  <si>
    <t>Dear Hiring Manager,
I am writing to express my interest in the Project Manager position at your company. I possess experience in corporate administration, where I took initiative on tracking project deliverables, budgets, and maintaining project timelines.
Throughout my career, I have effectively managed a project workflow from initial scope definition through to completion based on documented requirements. My daily tasks include executing main project schedules and tracking resource allocation against the budget using tracking software. In my previous assignments, I directed technical personnel and optimized performance across all milestones by adhering strictly to formal testing and verification compliance frameworks. My background includes specialized certification in standard project methodologies.
Please find my resume attached, which outlines my achievement, qualifications, and specific industry projects. I appreciate your consideration and look forward to discussing the dynamics of this role.
Regards,
[Your Name]</t>
  </si>
  <si>
    <t>Dear Hiring Manager,
Please accept my application for the Programme Coordinator role within your organization. With a professional background in project management office (PMO) operations, I took ownership of processes that required to monitor concurrent project workstreams.
My experience from overcoming challenges from the previous company lead me with tracking program schedules, optimizing operational metrics, and independently verify that project outputs satisfy formal compliance requirements. I proactively direct data analysis to generate accurate status reports for the organization. In this role, I executed tasks with others across different project departments and communicated insights regarding standard operating procedures to maintain consistency in scheduling and documentation formats.
My resume is attached for your comprehensive review. I am available for an interview to discuss how my technical qualifications and administrative experience delivers to your current project requirements.
Thank you for your consideration.
Regards,
[Your Name]</t>
  </si>
  <si>
    <t>ACCAC</t>
  </si>
  <si>
    <t>AACAC</t>
  </si>
  <si>
    <t>CCCAAA</t>
  </si>
  <si>
    <t>3, 4, 5, 6, 8, 9</t>
  </si>
  <si>
    <t>Dear Hiring Manager,
I am writing to express my strong interest in the Sales Executive position at your company. With my combination of education and work experience in business development and customer management, I look forward to dedicating myself fulfilling the responsibilities of this role.
In my previous position, I worked closely with colleagues, tracking regional industry metrics, and following the established sales process, helping the team meet the quarterly quota. I leverage standard CRM software to optimize operational data, resolve complex issues, and ensure that specific customer requirements are accurately documented. My proactive approach to communication focuses on presenting clear product presentations and delivering technical information to help stakeholders execute their purchasing actions.
Enclosed is my resume, which shares additional details regarding my qualifications and skills. I welcome the opportunity for an interview to explore how my relational skills will support your organization.
Thank you for your time and consideration.
Regards,
[Your Name]</t>
  </si>
  <si>
    <t>Dear Hiring Manager,
I am writing to apply for the Procurement Officer position at your company. I have built a strategic background in supply chain activities, with specialized expertise working with vendors, contract administration, and compliance monitoring.
In my previous role, I was responsible for carrying out standard procurement processes, including verifying vendor qualifications and supporting adherence to technical requirements. I regularly checked data during pricing reviews alongside internal teams to ensure purchases remained within the collective budget. Additionally, I negotiated terms for commercial agreements and managed quality across all supplier products to maintain full compliance with internal operating policies.
My attached resume details my formal credentials and specific experience with enterprise resource planning software. I would welcome the opportunity to connect with you and discuss how my qualifications meet the current operational needs of your organization.
Thank you for your time and consideration.
Regards,
[Your Name]</t>
  </si>
  <si>
    <t>Dear Hiring Manager,
Please accept this application for the Business Development Specialist role currently open within your organization. I have built relevant experience in the commercial sector, where I have dedicated several years to identifying industry growth paths and monitoring market developments.
My experience includes supporting customer acquisition processes, conducting systematic reviews of industry data, and connecting across internal and external teams through professional communication. In my last assignment, I took ownership of identifying alignment between our product specifications and specific customer requirements, driving the workflow from initial contract discussions to final signing. I am accustomed to using performance tracking software and technology to communicate in regards to account status and provide helpful information to the organization.
I have attached my resume for your comprehensive review. I look forward to the possibility of a follow-up conversation to schedule a discussion regarding my qualifications for this position.
Regards,
[Your Name]</t>
  </si>
  <si>
    <t>Dear Hiring Manager,
This letter is in reference to the Logistics Coordinator role currently available within your organization. My background includes strong technical training and experience in supply chain tracking, logistics, and inventory management.
My professional focus is on executing high-caliber, driven workflow processes. In my last position, I monitored inventory levels, shipment schedules, and tracking data in coordination with the team using in-house logistics software. When discrepancies arose, I took the initiative to trace each variance to its source and resolve it. I worked with others with a cooperative spirit across warehouse operations and transportation to ensure that physical stock levels aligned exactly with system requirements.
My qualifications are outlined in detail in the attached resume. Please feel free to contact me via the information provided to schedule a discussion regarding this position.
Thank you for your review and consideration.
Regards,
[Your Name]</t>
  </si>
  <si>
    <t>Dear Hiring Manager,
I am writing to express my interest in the Project Manager position at your company. I possess experience in corporate administration, where I collaborated with my colleagues to ensure project deliverables, budgets, and project timelines were accurate and maintained.
Throughout my career, I have successfully looked after a project workflow as a collaborative effort from initial scope definition through to completion based on documented requirements. My daily tasks include updating main project schedules and tracking resource allocation alongside the team using tracking software. In my previous assignments, I directed technical personnel and optimized performance across all milestones by adhering strictly to formal testing and verification compliance frameworks. My background includes specialized certification in standard project methodologies.
Please find my resume attached, which outlines my achievements, qualifications, and specific industry projects. I appreciate your consideration and look forward to discussing the dynamics of this role.
Regards,
[Your Name]</t>
  </si>
  <si>
    <t>Dear Hiring Manager,
Please accept my application for the Programme Coordinator role within your organization. With a professional background in project management office (PMO) operations, I collaborated with my team on processes that required me to monitor concurrent project workstreams.
My experience in my previous company taught me to track program schedules, support operational metrics, and verify that project outputs satisfy formal compliance requirements. I proactively direct data analysis to generate accurate status reports for the organization. In this role, I worked alongside the team across different project departments and communicated information regarding standard operating procedures to maintain consistency in scheduling and documentation formats.
My resume is attached for your comprehensive review. I am available for an interview to discuss how my technical qualifications and administrative experience deliver on your current project requirements.
Thank you for your consideration.
Regards,
[Your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</si>
</sst>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Bahnschrift SemiLight Condensed"/>
      <family val="2"/>
    </font>
    <font>
      <sz val="11"/>
      <color theme="1"/>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0" fillId="0" borderId="0" xfId="0" applyAlignment="1">
      <alignment wrapText="1"/>
    </xf>
    <xf numFmtId="0" fontId="1" fillId="0" borderId="0" xfId="1"/>
    <xf numFmtId="10" fontId="0" fillId="0" borderId="0" xfId="0" applyNumberFormat="1"/>
  </cellXfs>
  <cellStyles count="2">
    <cellStyle name="Normal" xfId="0" builtinId="0"/>
    <cellStyle name="Normal 2" xfId="1" xr:uid="{9AF92513-D66A-4A20-AD76-51433C0D44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6D70-64F1-4E94-AA94-667F76073BAF}">
  <dimension ref="A1:S7"/>
  <sheetViews>
    <sheetView tabSelected="1" topLeftCell="E6" workbookViewId="0">
      <selection activeCell="E6" sqref="E6"/>
    </sheetView>
  </sheetViews>
  <sheetFormatPr defaultRowHeight="18" x14ac:dyDescent="0.25"/>
  <cols>
    <col min="1" max="1" width="9.5" bestFit="1" customWidth="1"/>
    <col min="2" max="2" width="39.625" bestFit="1" customWidth="1"/>
    <col min="3" max="4" width="87.5" customWidth="1"/>
    <col min="5" max="5" width="87.25" bestFit="1" customWidth="1"/>
    <col min="6" max="6" width="10.25" bestFit="1" customWidth="1"/>
    <col min="7" max="7" width="16.875" bestFit="1" customWidth="1"/>
    <col min="8" max="8" width="11.25" bestFit="1" customWidth="1"/>
    <col min="9" max="9" width="11.25" customWidth="1"/>
    <col min="10" max="10" width="12" bestFit="1" customWidth="1"/>
    <col min="11" max="11" width="13.375" bestFit="1" customWidth="1"/>
    <col min="12" max="12" width="14.625" bestFit="1" customWidth="1"/>
    <col min="13" max="13" width="15.875" bestFit="1" customWidth="1"/>
    <col min="14" max="14" width="9.375" bestFit="1" customWidth="1"/>
    <col min="15" max="15" width="13" bestFit="1" customWidth="1"/>
    <col min="16" max="16" width="10.375" bestFit="1" customWidth="1"/>
    <col min="17" max="17" width="11.875" bestFit="1" customWidth="1"/>
    <col min="18" max="18" width="15.125" bestFit="1" customWidth="1"/>
    <col min="19" max="19" width="13.125" bestFit="1" customWidth="1"/>
  </cols>
  <sheetData>
    <row r="1" spans="1:19" x14ac:dyDescent="0.25">
      <c r="A1" t="s">
        <v>0</v>
      </c>
      <c r="B1" t="s">
        <v>1</v>
      </c>
      <c r="C1" t="s">
        <v>6</v>
      </c>
      <c r="D1" t="s">
        <v>8</v>
      </c>
      <c r="E1" t="s">
        <v>9</v>
      </c>
      <c r="F1" t="s">
        <v>663</v>
      </c>
      <c r="G1" t="s">
        <v>658</v>
      </c>
      <c r="H1" t="s">
        <v>662</v>
      </c>
      <c r="I1" t="s">
        <v>657</v>
      </c>
      <c r="J1" t="s">
        <v>2</v>
      </c>
      <c r="K1" t="s">
        <v>646</v>
      </c>
      <c r="L1" t="s">
        <v>3</v>
      </c>
      <c r="M1" t="s">
        <v>647</v>
      </c>
      <c r="N1" t="s">
        <v>654</v>
      </c>
      <c r="O1" t="s">
        <v>4</v>
      </c>
      <c r="P1" t="s">
        <v>5</v>
      </c>
      <c r="Q1" t="s">
        <v>652</v>
      </c>
      <c r="R1" t="s">
        <v>653</v>
      </c>
      <c r="S1" t="s">
        <v>651</v>
      </c>
    </row>
    <row r="2" spans="1:19" ht="378" x14ac:dyDescent="0.25">
      <c r="A2">
        <v>1</v>
      </c>
      <c r="B2" t="s">
        <v>648</v>
      </c>
      <c r="C2" s="1" t="s">
        <v>668</v>
      </c>
      <c r="D2" s="1" t="s">
        <v>667</v>
      </c>
      <c r="E2" s="1" t="s">
        <v>680</v>
      </c>
      <c r="F2" s="1">
        <v>20240101</v>
      </c>
      <c r="G2" t="s">
        <v>659</v>
      </c>
      <c r="H2" t="s">
        <v>655</v>
      </c>
      <c r="I2">
        <v>7</v>
      </c>
      <c r="J2">
        <f t="array" ref="J2">SUMPRODUCT(ISNUMBER(SEARCH(AgenticDict, E2))*1)</f>
        <v>4</v>
      </c>
      <c r="K2" s="3">
        <f>SUM(J2/P2)</f>
        <v>2.5974025974025976E-2</v>
      </c>
      <c r="L2">
        <f>SUMPRODUCT(ISNUMBER(SEARCH(CommunalDict, E2))*1)</f>
        <v>5</v>
      </c>
      <c r="M2" s="3">
        <f>SUM(L2/P2)</f>
        <v>3.2467532467532464E-2</v>
      </c>
      <c r="N2" s="3">
        <f>(J2+L2)/P2</f>
        <v>5.844155844155844E-2</v>
      </c>
      <c r="O2">
        <f t="shared" ref="O2" si="0">SUMPRODUCT(ISNUMBER(SEARCH(NegativeDict, E2))*1)</f>
        <v>0</v>
      </c>
      <c r="P2">
        <f t="shared" ref="P2" si="1">IF(LEN(TRIM(E2))=0,0,LEN(TRIM(E2))-LEN(SUBSTITUTE(TRIM(E2)," ",""))+7)</f>
        <v>154</v>
      </c>
      <c r="Q2">
        <f>AVERAGE((IF(LEN(TRIM(C2))=0,0,LEN(TRIM(C2))-LEN(SUBSTITUTE(TRIM(C2)," ",""))+7)), (IF(LEN(TRIM(D2))=0,0,LEN(TRIM(D2))-LEN(SUBSTITUTE(TRIM(D2)," ",""))+7)), (IF(LEN(TRIM(E2))=0,0,LEN(TRIM(E2))-LEN(SUBSTITUTE(TRIM(E2)," ",""))+7)))</f>
        <v>156.33333333333334</v>
      </c>
      <c r="R2" s="3">
        <f>P2/Q2</f>
        <v>0.9850746268656716</v>
      </c>
      <c r="S2">
        <f t="shared" ref="S2:S7" si="2">J2-L2</f>
        <v>-1</v>
      </c>
    </row>
    <row r="3" spans="1:19" ht="324" x14ac:dyDescent="0.25">
      <c r="A3">
        <v>2</v>
      </c>
      <c r="B3" t="s">
        <v>648</v>
      </c>
      <c r="C3" s="1" t="s">
        <v>669</v>
      </c>
      <c r="D3" s="1" t="s">
        <v>670</v>
      </c>
      <c r="E3" s="1" t="s">
        <v>682</v>
      </c>
      <c r="F3" s="1">
        <v>20240101</v>
      </c>
      <c r="G3" t="s">
        <v>660</v>
      </c>
      <c r="H3" t="s">
        <v>656</v>
      </c>
      <c r="I3">
        <v>5</v>
      </c>
      <c r="J3">
        <f t="array" ref="J3">SUMPRODUCT(ISNUMBER(SEARCH(AgenticDict, E3))*1)</f>
        <v>2</v>
      </c>
      <c r="K3" s="3">
        <f t="shared" ref="K3:K7" si="3">SUM(J3/P3)</f>
        <v>1.3333333333333334E-2</v>
      </c>
      <c r="L3">
        <f t="array" ref="L3">SUMPRODUCT(ISNUMBER(SEARCH(CommunalDict, E3))*1)</f>
        <v>6</v>
      </c>
      <c r="M3" s="3">
        <f t="shared" ref="M3:M7" si="4">SUM(L3/P3)</f>
        <v>0.04</v>
      </c>
      <c r="N3" s="3">
        <f t="shared" ref="N3:N7" si="5">(J3+L3)/P3</f>
        <v>5.3333333333333337E-2</v>
      </c>
      <c r="O3">
        <f t="shared" ref="O3:O7" si="6">SUMPRODUCT(ISNUMBER(SEARCH(NegativeDict, E3))*1)</f>
        <v>0</v>
      </c>
      <c r="P3">
        <f t="shared" ref="P3:P7" si="7">IF(LEN(TRIM(E3))=0,0,LEN(TRIM(E3))-LEN(SUBSTITUTE(TRIM(E3)," ",""))+7)</f>
        <v>150</v>
      </c>
      <c r="Q3">
        <f t="shared" ref="Q3:Q7" si="8">AVERAGE((IF(LEN(TRIM(C3))=0,0,LEN(TRIM(C3))-LEN(SUBSTITUTE(TRIM(C3)," ",""))+7)), (IF(LEN(TRIM(D3))=0,0,LEN(TRIM(D3))-LEN(SUBSTITUTE(TRIM(D3)," ",""))+7)), (IF(LEN(TRIM(E3))=0,0,LEN(TRIM(E3))-LEN(SUBSTITUTE(TRIM(E3)," ",""))+7)))</f>
        <v>149.33333333333334</v>
      </c>
      <c r="R3" s="3">
        <f t="shared" ref="R3:R7" si="9">P3/Q3</f>
        <v>1.0044642857142856</v>
      </c>
      <c r="S3">
        <f t="shared" si="2"/>
        <v>-4</v>
      </c>
    </row>
    <row r="4" spans="1:19" ht="360" x14ac:dyDescent="0.25">
      <c r="A4">
        <v>3</v>
      </c>
      <c r="B4" t="s">
        <v>649</v>
      </c>
      <c r="C4" s="1" t="s">
        <v>672</v>
      </c>
      <c r="D4" s="1" t="s">
        <v>671</v>
      </c>
      <c r="E4" s="1" t="s">
        <v>681</v>
      </c>
      <c r="F4" s="1">
        <v>20240101</v>
      </c>
      <c r="G4" t="s">
        <v>660</v>
      </c>
      <c r="H4" t="s">
        <v>676</v>
      </c>
      <c r="I4">
        <v>5</v>
      </c>
      <c r="J4">
        <f t="array" ref="J4">SUMPRODUCT(ISNUMBER(SEARCH(AgenticDict, E4))*1)</f>
        <v>5</v>
      </c>
      <c r="K4" s="3">
        <f t="shared" si="3"/>
        <v>3.4013605442176874E-2</v>
      </c>
      <c r="L4">
        <f t="array" ref="L4">SUMPRODUCT(ISNUMBER(SEARCH(CommunalDict, E4))*1)</f>
        <v>5</v>
      </c>
      <c r="M4" s="3">
        <f t="shared" si="4"/>
        <v>3.4013605442176874E-2</v>
      </c>
      <c r="N4" s="3">
        <f t="shared" si="5"/>
        <v>6.8027210884353748E-2</v>
      </c>
      <c r="O4">
        <f t="shared" si="6"/>
        <v>0</v>
      </c>
      <c r="P4">
        <f t="shared" si="7"/>
        <v>147</v>
      </c>
      <c r="Q4">
        <f t="shared" si="8"/>
        <v>146.66666666666666</v>
      </c>
      <c r="R4" s="3">
        <f t="shared" si="9"/>
        <v>1.0022727272727274</v>
      </c>
      <c r="S4">
        <f t="shared" si="2"/>
        <v>0</v>
      </c>
    </row>
    <row r="5" spans="1:19" ht="360" x14ac:dyDescent="0.25">
      <c r="A5">
        <v>4</v>
      </c>
      <c r="B5" t="s">
        <v>649</v>
      </c>
      <c r="C5" s="1" t="s">
        <v>665</v>
      </c>
      <c r="D5" s="1" t="s">
        <v>664</v>
      </c>
      <c r="E5" s="1" t="s">
        <v>683</v>
      </c>
      <c r="F5" s="1">
        <v>20240101</v>
      </c>
      <c r="G5" t="s">
        <v>661</v>
      </c>
      <c r="H5" t="s">
        <v>677</v>
      </c>
      <c r="I5">
        <v>5</v>
      </c>
      <c r="J5">
        <f t="array" ref="J5">SUMPRODUCT(ISNUMBER(SEARCH(AgenticDict, E5))*1)</f>
        <v>3</v>
      </c>
      <c r="K5" s="3">
        <f t="shared" si="3"/>
        <v>2.0833333333333332E-2</v>
      </c>
      <c r="L5">
        <f t="array" ref="L5">SUMPRODUCT(ISNUMBER(SEARCH(CommunalDict, E5))*1)</f>
        <v>3</v>
      </c>
      <c r="M5" s="3">
        <f t="shared" si="4"/>
        <v>2.0833333333333332E-2</v>
      </c>
      <c r="N5" s="3">
        <f t="shared" si="5"/>
        <v>4.1666666666666664E-2</v>
      </c>
      <c r="O5">
        <f t="shared" si="6"/>
        <v>0</v>
      </c>
      <c r="P5">
        <f t="shared" si="7"/>
        <v>144</v>
      </c>
      <c r="Q5">
        <f t="shared" si="8"/>
        <v>142.66666666666666</v>
      </c>
      <c r="R5" s="3">
        <f t="shared" si="9"/>
        <v>1.0093457943925235</v>
      </c>
      <c r="S5">
        <f t="shared" si="2"/>
        <v>0</v>
      </c>
    </row>
    <row r="6" spans="1:19" ht="342" x14ac:dyDescent="0.25">
      <c r="A6">
        <v>5</v>
      </c>
      <c r="B6" t="s">
        <v>650</v>
      </c>
      <c r="C6" s="1" t="s">
        <v>674</v>
      </c>
      <c r="D6" s="1" t="s">
        <v>673</v>
      </c>
      <c r="E6" s="1" t="s">
        <v>684</v>
      </c>
      <c r="F6" s="1">
        <v>20240101</v>
      </c>
      <c r="G6" t="s">
        <v>679</v>
      </c>
      <c r="H6" t="s">
        <v>678</v>
      </c>
      <c r="I6">
        <v>6</v>
      </c>
      <c r="J6">
        <f t="array" ref="J6">SUMPRODUCT(ISNUMBER(SEARCH(AgenticDict, E6))*1)</f>
        <v>7</v>
      </c>
      <c r="K6" s="3">
        <f t="shared" si="3"/>
        <v>4.6357615894039736E-2</v>
      </c>
      <c r="L6">
        <f t="array" ref="L6">SUMPRODUCT(ISNUMBER(SEARCH(CommunalDict, E6))*1)</f>
        <v>3</v>
      </c>
      <c r="M6" s="3">
        <f t="shared" si="4"/>
        <v>1.9867549668874173E-2</v>
      </c>
      <c r="N6" s="3">
        <f t="shared" si="5"/>
        <v>6.6225165562913912E-2</v>
      </c>
      <c r="O6">
        <f t="shared" si="6"/>
        <v>0</v>
      </c>
      <c r="P6">
        <f t="shared" si="7"/>
        <v>151</v>
      </c>
      <c r="Q6">
        <f t="shared" si="8"/>
        <v>149.66666666666666</v>
      </c>
      <c r="R6" s="3">
        <f t="shared" si="9"/>
        <v>1.0089086859688197</v>
      </c>
      <c r="S6">
        <f t="shared" si="2"/>
        <v>4</v>
      </c>
    </row>
    <row r="7" spans="1:19" ht="360" x14ac:dyDescent="0.25">
      <c r="A7">
        <v>6</v>
      </c>
      <c r="B7" t="s">
        <v>650</v>
      </c>
      <c r="C7" s="1" t="s">
        <v>675</v>
      </c>
      <c r="D7" s="1" t="s">
        <v>666</v>
      </c>
      <c r="E7" s="1" t="s">
        <v>685</v>
      </c>
      <c r="F7" s="1">
        <v>20240101</v>
      </c>
      <c r="G7" t="s">
        <v>660</v>
      </c>
      <c r="H7" t="s">
        <v>656</v>
      </c>
      <c r="I7">
        <v>5</v>
      </c>
      <c r="J7">
        <f t="array" ref="J7">SUMPRODUCT(ISNUMBER(SEARCH(AgenticDict, E7))*1)</f>
        <v>3</v>
      </c>
      <c r="K7" s="3">
        <f t="shared" si="3"/>
        <v>2.1276595744680851E-2</v>
      </c>
      <c r="L7">
        <f t="array" ref="L7">SUMPRODUCT(ISNUMBER(SEARCH(CommunalDict, E7))*1)</f>
        <v>4</v>
      </c>
      <c r="M7" s="3">
        <f t="shared" si="4"/>
        <v>2.8368794326241134E-2</v>
      </c>
      <c r="N7" s="3">
        <f t="shared" si="5"/>
        <v>4.9645390070921988E-2</v>
      </c>
      <c r="O7">
        <f t="shared" si="6"/>
        <v>0</v>
      </c>
      <c r="P7">
        <f t="shared" si="7"/>
        <v>141</v>
      </c>
      <c r="Q7">
        <f t="shared" si="8"/>
        <v>141.33333333333334</v>
      </c>
      <c r="R7" s="3">
        <f t="shared" si="9"/>
        <v>0.99764150943396224</v>
      </c>
      <c r="S7">
        <f t="shared" si="2"/>
        <v>-1</v>
      </c>
    </row>
  </sheetData>
  <conditionalFormatting sqref="S2:S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02CD-51D3-4368-8F4C-BE5696DFB34F}">
  <dimension ref="A1:H177"/>
  <sheetViews>
    <sheetView topLeftCell="A4" workbookViewId="0">
      <selection activeCell="D21" sqref="D21"/>
    </sheetView>
  </sheetViews>
  <sheetFormatPr defaultRowHeight="15" x14ac:dyDescent="0.25"/>
  <cols>
    <col min="1" max="16384" width="9" style="2"/>
  </cols>
  <sheetData>
    <row r="1" spans="1:8" x14ac:dyDescent="0.25">
      <c r="A1" s="2" t="s">
        <v>10</v>
      </c>
      <c r="B1" s="2" t="s">
        <v>7</v>
      </c>
      <c r="C1" s="2" t="s">
        <v>11</v>
      </c>
      <c r="D1" s="2" t="s">
        <v>12</v>
      </c>
      <c r="E1" s="2" t="s">
        <v>13</v>
      </c>
      <c r="F1" s="2" t="s">
        <v>14</v>
      </c>
      <c r="G1" s="2" t="s">
        <v>15</v>
      </c>
      <c r="H1" s="2" t="s">
        <v>16</v>
      </c>
    </row>
    <row r="2" spans="1:8" x14ac:dyDescent="0.25">
      <c r="A2" s="2" t="s">
        <v>17</v>
      </c>
      <c r="B2" s="2" t="s">
        <v>18</v>
      </c>
      <c r="C2" s="2" t="s">
        <v>19</v>
      </c>
      <c r="D2" s="2" t="s">
        <v>20</v>
      </c>
      <c r="E2" s="2" t="s">
        <v>21</v>
      </c>
      <c r="F2" s="2" t="s">
        <v>22</v>
      </c>
      <c r="G2" s="2" t="s">
        <v>23</v>
      </c>
    </row>
    <row r="3" spans="1:8" x14ac:dyDescent="0.25">
      <c r="A3" s="2" t="s">
        <v>24</v>
      </c>
      <c r="B3" s="2" t="s">
        <v>25</v>
      </c>
      <c r="C3" s="2" t="s">
        <v>26</v>
      </c>
      <c r="D3" s="2" t="s">
        <v>27</v>
      </c>
      <c r="E3" s="2" t="s">
        <v>28</v>
      </c>
      <c r="F3" s="2" t="s">
        <v>29</v>
      </c>
      <c r="G3" s="2" t="s">
        <v>30</v>
      </c>
    </row>
    <row r="4" spans="1:8" x14ac:dyDescent="0.25">
      <c r="A4" s="2" t="s">
        <v>31</v>
      </c>
      <c r="B4" s="2" t="s">
        <v>32</v>
      </c>
      <c r="C4" s="2" t="s">
        <v>33</v>
      </c>
      <c r="D4" s="2" t="s">
        <v>34</v>
      </c>
      <c r="E4" s="2" t="s">
        <v>35</v>
      </c>
      <c r="F4" s="2" t="s">
        <v>36</v>
      </c>
      <c r="G4" s="2" t="s">
        <v>37</v>
      </c>
    </row>
    <row r="5" spans="1:8" x14ac:dyDescent="0.25">
      <c r="A5" s="2" t="s">
        <v>38</v>
      </c>
      <c r="B5" s="2" t="s">
        <v>39</v>
      </c>
      <c r="C5" s="2" t="s">
        <v>40</v>
      </c>
      <c r="D5" s="2" t="s">
        <v>41</v>
      </c>
      <c r="E5" s="2" t="s">
        <v>42</v>
      </c>
      <c r="F5" s="2" t="s">
        <v>43</v>
      </c>
      <c r="G5" s="2" t="s">
        <v>44</v>
      </c>
    </row>
    <row r="6" spans="1:8" x14ac:dyDescent="0.25">
      <c r="A6" s="2" t="s">
        <v>45</v>
      </c>
      <c r="B6" s="2" t="s">
        <v>46</v>
      </c>
      <c r="C6" s="2" t="s">
        <v>47</v>
      </c>
      <c r="D6" s="2" t="s">
        <v>48</v>
      </c>
      <c r="E6" s="2" t="s">
        <v>49</v>
      </c>
      <c r="F6" s="2" t="s">
        <v>50</v>
      </c>
      <c r="G6" s="2" t="s">
        <v>51</v>
      </c>
    </row>
    <row r="7" spans="1:8" x14ac:dyDescent="0.25">
      <c r="A7" s="2" t="s">
        <v>52</v>
      </c>
      <c r="B7" s="2" t="s">
        <v>53</v>
      </c>
      <c r="C7" s="2" t="s">
        <v>54</v>
      </c>
      <c r="D7" s="2" t="s">
        <v>55</v>
      </c>
      <c r="E7" s="2" t="s">
        <v>56</v>
      </c>
      <c r="F7" s="2" t="s">
        <v>57</v>
      </c>
      <c r="G7" s="2" t="s">
        <v>58</v>
      </c>
    </row>
    <row r="8" spans="1:8" x14ac:dyDescent="0.25">
      <c r="A8" s="2" t="s">
        <v>59</v>
      </c>
      <c r="B8" s="2" t="s">
        <v>60</v>
      </c>
      <c r="C8" s="2" t="s">
        <v>61</v>
      </c>
      <c r="D8" s="2" t="s">
        <v>62</v>
      </c>
      <c r="E8" s="2" t="s">
        <v>63</v>
      </c>
      <c r="F8" s="2" t="s">
        <v>64</v>
      </c>
      <c r="G8" s="2" t="s">
        <v>65</v>
      </c>
    </row>
    <row r="9" spans="1:8" x14ac:dyDescent="0.25">
      <c r="A9" s="2" t="s">
        <v>66</v>
      </c>
      <c r="B9" s="2" t="s">
        <v>67</v>
      </c>
      <c r="C9" s="2" t="s">
        <v>68</v>
      </c>
      <c r="D9" s="2" t="s">
        <v>69</v>
      </c>
      <c r="E9" s="2" t="s">
        <v>70</v>
      </c>
      <c r="F9" s="2" t="s">
        <v>71</v>
      </c>
      <c r="G9" s="2" t="s">
        <v>72</v>
      </c>
    </row>
    <row r="10" spans="1:8" x14ac:dyDescent="0.25">
      <c r="A10" s="2" t="s">
        <v>73</v>
      </c>
      <c r="B10" s="2" t="s">
        <v>74</v>
      </c>
      <c r="C10" s="2" t="s">
        <v>75</v>
      </c>
      <c r="D10" s="2" t="s">
        <v>76</v>
      </c>
      <c r="E10" s="2" t="s">
        <v>77</v>
      </c>
      <c r="F10" s="2" t="s">
        <v>78</v>
      </c>
      <c r="G10" s="2" t="s">
        <v>79</v>
      </c>
    </row>
    <row r="11" spans="1:8" x14ac:dyDescent="0.25">
      <c r="A11" s="2" t="s">
        <v>80</v>
      </c>
      <c r="B11" s="2" t="s">
        <v>81</v>
      </c>
      <c r="C11" s="2" t="s">
        <v>82</v>
      </c>
      <c r="D11" s="2" t="s">
        <v>83</v>
      </c>
      <c r="E11" s="2" t="s">
        <v>84</v>
      </c>
      <c r="F11" s="2" t="s">
        <v>85</v>
      </c>
      <c r="G11" s="2" t="s">
        <v>86</v>
      </c>
    </row>
    <row r="12" spans="1:8" x14ac:dyDescent="0.25">
      <c r="A12" s="2" t="s">
        <v>87</v>
      </c>
      <c r="B12" s="2" t="s">
        <v>88</v>
      </c>
      <c r="C12" s="2" t="s">
        <v>89</v>
      </c>
      <c r="D12" s="2" t="s">
        <v>90</v>
      </c>
      <c r="E12" s="2" t="s">
        <v>91</v>
      </c>
      <c r="F12" s="2" t="s">
        <v>92</v>
      </c>
      <c r="G12" s="2" t="s">
        <v>93</v>
      </c>
    </row>
    <row r="13" spans="1:8" x14ac:dyDescent="0.25">
      <c r="A13" s="2" t="s">
        <v>94</v>
      </c>
      <c r="B13" s="2" t="s">
        <v>95</v>
      </c>
      <c r="C13" s="2" t="s">
        <v>96</v>
      </c>
      <c r="D13" s="2" t="s">
        <v>97</v>
      </c>
      <c r="E13" s="2" t="s">
        <v>98</v>
      </c>
      <c r="F13" s="2" t="s">
        <v>99</v>
      </c>
      <c r="G13" s="2" t="s">
        <v>100</v>
      </c>
    </row>
    <row r="14" spans="1:8" x14ac:dyDescent="0.25">
      <c r="A14" s="2" t="s">
        <v>101</v>
      </c>
      <c r="B14" s="2" t="s">
        <v>102</v>
      </c>
      <c r="C14" s="2" t="s">
        <v>103</v>
      </c>
      <c r="D14" s="2" t="s">
        <v>104</v>
      </c>
      <c r="E14" s="2" t="s">
        <v>105</v>
      </c>
      <c r="F14" s="2" t="s">
        <v>106</v>
      </c>
      <c r="G14" s="2" t="s">
        <v>107</v>
      </c>
    </row>
    <row r="15" spans="1:8" x14ac:dyDescent="0.25">
      <c r="A15" s="2" t="s">
        <v>108</v>
      </c>
      <c r="B15" s="2" t="s">
        <v>109</v>
      </c>
      <c r="C15" s="2" t="s">
        <v>110</v>
      </c>
      <c r="D15" s="2" t="s">
        <v>111</v>
      </c>
      <c r="E15" s="2" t="s">
        <v>112</v>
      </c>
      <c r="F15" s="2" t="s">
        <v>113</v>
      </c>
      <c r="G15" s="2" t="s">
        <v>114</v>
      </c>
    </row>
    <row r="16" spans="1:8" x14ac:dyDescent="0.25">
      <c r="A16" s="2" t="s">
        <v>115</v>
      </c>
      <c r="B16" s="2" t="s">
        <v>116</v>
      </c>
      <c r="C16" s="2" t="s">
        <v>117</v>
      </c>
      <c r="D16" s="2" t="s">
        <v>118</v>
      </c>
      <c r="E16" s="2" t="s">
        <v>119</v>
      </c>
      <c r="F16" s="2" t="s">
        <v>120</v>
      </c>
      <c r="G16" s="2" t="s">
        <v>121</v>
      </c>
    </row>
    <row r="17" spans="1:7" x14ac:dyDescent="0.25">
      <c r="A17" s="2" t="s">
        <v>122</v>
      </c>
      <c r="B17" s="2" t="s">
        <v>123</v>
      </c>
      <c r="C17" s="2" t="s">
        <v>124</v>
      </c>
      <c r="D17" s="2" t="s">
        <v>125</v>
      </c>
      <c r="E17" s="2" t="s">
        <v>126</v>
      </c>
      <c r="F17" s="2" t="s">
        <v>127</v>
      </c>
      <c r="G17" s="2" t="s">
        <v>128</v>
      </c>
    </row>
    <row r="18" spans="1:7" x14ac:dyDescent="0.25">
      <c r="A18" s="2" t="s">
        <v>129</v>
      </c>
      <c r="B18" s="2" t="s">
        <v>130</v>
      </c>
      <c r="C18" s="2" t="s">
        <v>131</v>
      </c>
      <c r="D18" s="2" t="s">
        <v>132</v>
      </c>
      <c r="E18" s="2" t="s">
        <v>133</v>
      </c>
      <c r="F18" s="2" t="s">
        <v>134</v>
      </c>
      <c r="G18" s="2" t="s">
        <v>135</v>
      </c>
    </row>
    <row r="19" spans="1:7" x14ac:dyDescent="0.25">
      <c r="A19" s="2" t="s">
        <v>136</v>
      </c>
      <c r="B19" s="2" t="s">
        <v>137</v>
      </c>
      <c r="C19" s="2" t="s">
        <v>138</v>
      </c>
      <c r="D19" s="2" t="s">
        <v>139</v>
      </c>
      <c r="E19" s="2" t="s">
        <v>140</v>
      </c>
      <c r="F19" s="2" t="s">
        <v>141</v>
      </c>
      <c r="G19" s="2" t="s">
        <v>142</v>
      </c>
    </row>
    <row r="20" spans="1:7" x14ac:dyDescent="0.25">
      <c r="A20" s="2" t="s">
        <v>143</v>
      </c>
      <c r="B20" s="2" t="s">
        <v>144</v>
      </c>
      <c r="C20" s="2" t="s">
        <v>145</v>
      </c>
      <c r="D20" s="2" t="s">
        <v>146</v>
      </c>
      <c r="E20" s="2" t="s">
        <v>147</v>
      </c>
      <c r="F20" s="2" t="s">
        <v>148</v>
      </c>
      <c r="G20" s="2" t="s">
        <v>149</v>
      </c>
    </row>
    <row r="21" spans="1:7" x14ac:dyDescent="0.25">
      <c r="A21" s="2" t="s">
        <v>150</v>
      </c>
      <c r="B21" s="2" t="s">
        <v>151</v>
      </c>
      <c r="C21" s="2" t="s">
        <v>152</v>
      </c>
      <c r="D21" s="2" t="s">
        <v>159</v>
      </c>
      <c r="E21" s="2" t="s">
        <v>153</v>
      </c>
      <c r="F21" s="2" t="s">
        <v>154</v>
      </c>
      <c r="G21" s="2" t="s">
        <v>155</v>
      </c>
    </row>
    <row r="22" spans="1:7" x14ac:dyDescent="0.25">
      <c r="A22" s="2" t="s">
        <v>156</v>
      </c>
      <c r="B22" s="2" t="s">
        <v>157</v>
      </c>
      <c r="C22" s="2" t="s">
        <v>158</v>
      </c>
      <c r="E22" s="2" t="s">
        <v>160</v>
      </c>
      <c r="F22" s="2" t="s">
        <v>161</v>
      </c>
      <c r="G22" s="2" t="s">
        <v>64</v>
      </c>
    </row>
    <row r="23" spans="1:7" x14ac:dyDescent="0.25">
      <c r="A23" s="2" t="s">
        <v>162</v>
      </c>
      <c r="B23" s="2" t="s">
        <v>163</v>
      </c>
      <c r="C23" s="2" t="s">
        <v>164</v>
      </c>
      <c r="E23" s="2" t="s">
        <v>165</v>
      </c>
      <c r="F23" s="2" t="s">
        <v>166</v>
      </c>
      <c r="G23" s="2" t="s">
        <v>71</v>
      </c>
    </row>
    <row r="24" spans="1:7" x14ac:dyDescent="0.25">
      <c r="A24" s="2" t="s">
        <v>167</v>
      </c>
      <c r="B24" s="2" t="s">
        <v>168</v>
      </c>
      <c r="C24" s="2" t="s">
        <v>169</v>
      </c>
      <c r="E24" s="2" t="s">
        <v>170</v>
      </c>
      <c r="F24" s="2" t="s">
        <v>50</v>
      </c>
      <c r="G24" s="2" t="s">
        <v>51</v>
      </c>
    </row>
    <row r="25" spans="1:7" x14ac:dyDescent="0.25">
      <c r="A25" s="2" t="s">
        <v>171</v>
      </c>
      <c r="B25" s="2" t="s">
        <v>172</v>
      </c>
      <c r="C25" s="2" t="s">
        <v>173</v>
      </c>
      <c r="E25" s="2" t="s">
        <v>174</v>
      </c>
      <c r="F25" s="2" t="s">
        <v>57</v>
      </c>
      <c r="G25" s="2" t="s">
        <v>58</v>
      </c>
    </row>
    <row r="26" spans="1:7" x14ac:dyDescent="0.25">
      <c r="A26" s="2" t="s">
        <v>175</v>
      </c>
      <c r="B26" s="2" t="s">
        <v>176</v>
      </c>
      <c r="C26" s="2" t="s">
        <v>177</v>
      </c>
      <c r="E26" s="2" t="s">
        <v>178</v>
      </c>
      <c r="F26" s="2" t="s">
        <v>179</v>
      </c>
      <c r="G26" s="2" t="s">
        <v>180</v>
      </c>
    </row>
    <row r="27" spans="1:7" x14ac:dyDescent="0.25">
      <c r="A27" s="2" t="s">
        <v>181</v>
      </c>
      <c r="B27" s="2" t="s">
        <v>182</v>
      </c>
      <c r="C27" s="2" t="s">
        <v>183</v>
      </c>
      <c r="E27" s="2" t="s">
        <v>184</v>
      </c>
      <c r="F27" s="2" t="s">
        <v>185</v>
      </c>
      <c r="G27" s="2" t="s">
        <v>186</v>
      </c>
    </row>
    <row r="28" spans="1:7" x14ac:dyDescent="0.25">
      <c r="A28" s="2" t="s">
        <v>187</v>
      </c>
      <c r="B28" s="2" t="s">
        <v>188</v>
      </c>
      <c r="C28" s="2" t="s">
        <v>189</v>
      </c>
      <c r="E28" s="2" t="s">
        <v>190</v>
      </c>
      <c r="F28" s="2" t="s">
        <v>191</v>
      </c>
      <c r="G28" s="2" t="s">
        <v>192</v>
      </c>
    </row>
    <row r="29" spans="1:7" x14ac:dyDescent="0.25">
      <c r="A29" s="2" t="s">
        <v>193</v>
      </c>
      <c r="B29" s="2" t="s">
        <v>194</v>
      </c>
      <c r="C29" s="2" t="s">
        <v>195</v>
      </c>
      <c r="E29" s="2" t="s">
        <v>196</v>
      </c>
      <c r="F29" s="2" t="s">
        <v>197</v>
      </c>
      <c r="G29" s="2" t="s">
        <v>198</v>
      </c>
    </row>
    <row r="30" spans="1:7" x14ac:dyDescent="0.25">
      <c r="A30" s="2" t="s">
        <v>199</v>
      </c>
      <c r="B30" s="2" t="s">
        <v>200</v>
      </c>
      <c r="C30" s="2" t="s">
        <v>201</v>
      </c>
      <c r="E30" s="2" t="s">
        <v>202</v>
      </c>
      <c r="F30" s="2" t="s">
        <v>203</v>
      </c>
      <c r="G30" s="2" t="s">
        <v>204</v>
      </c>
    </row>
    <row r="31" spans="1:7" x14ac:dyDescent="0.25">
      <c r="A31" s="2" t="s">
        <v>205</v>
      </c>
      <c r="B31" s="2" t="s">
        <v>206</v>
      </c>
      <c r="C31" s="2" t="s">
        <v>207</v>
      </c>
      <c r="E31" s="2" t="s">
        <v>208</v>
      </c>
      <c r="F31" s="2" t="s">
        <v>209</v>
      </c>
      <c r="G31" s="2" t="s">
        <v>210</v>
      </c>
    </row>
    <row r="32" spans="1:7" x14ac:dyDescent="0.25">
      <c r="A32" s="2" t="s">
        <v>211</v>
      </c>
      <c r="B32" s="2" t="s">
        <v>212</v>
      </c>
      <c r="C32" s="2" t="s">
        <v>213</v>
      </c>
      <c r="E32" s="2" t="s">
        <v>214</v>
      </c>
      <c r="F32" s="2" t="s">
        <v>215</v>
      </c>
      <c r="G32" s="2" t="s">
        <v>51</v>
      </c>
    </row>
    <row r="33" spans="1:7" x14ac:dyDescent="0.25">
      <c r="A33" s="2" t="s">
        <v>216</v>
      </c>
      <c r="B33" s="2" t="s">
        <v>217</v>
      </c>
      <c r="C33" s="2" t="s">
        <v>218</v>
      </c>
      <c r="E33" s="2" t="s">
        <v>219</v>
      </c>
      <c r="F33" s="2" t="s">
        <v>220</v>
      </c>
      <c r="G33" s="2" t="s">
        <v>58</v>
      </c>
    </row>
    <row r="34" spans="1:7" x14ac:dyDescent="0.25">
      <c r="A34" s="2" t="s">
        <v>221</v>
      </c>
      <c r="B34" s="2" t="s">
        <v>222</v>
      </c>
      <c r="C34" s="2" t="s">
        <v>223</v>
      </c>
      <c r="E34" s="2" t="s">
        <v>224</v>
      </c>
      <c r="F34" s="2" t="s">
        <v>225</v>
      </c>
      <c r="G34" s="2" t="s">
        <v>226</v>
      </c>
    </row>
    <row r="35" spans="1:7" x14ac:dyDescent="0.25">
      <c r="A35" s="2" t="s">
        <v>227</v>
      </c>
      <c r="B35" s="2" t="s">
        <v>228</v>
      </c>
      <c r="C35" s="2" t="s">
        <v>229</v>
      </c>
      <c r="E35" s="2" t="s">
        <v>230</v>
      </c>
      <c r="F35" s="2" t="s">
        <v>231</v>
      </c>
      <c r="G35" s="2" t="s">
        <v>232</v>
      </c>
    </row>
    <row r="36" spans="1:7" x14ac:dyDescent="0.25">
      <c r="A36" s="2" t="s">
        <v>233</v>
      </c>
      <c r="B36" s="2" t="s">
        <v>234</v>
      </c>
      <c r="C36" s="2" t="s">
        <v>235</v>
      </c>
      <c r="E36" s="2" t="s">
        <v>236</v>
      </c>
      <c r="F36" s="2" t="s">
        <v>237</v>
      </c>
      <c r="G36" s="2" t="s">
        <v>238</v>
      </c>
    </row>
    <row r="37" spans="1:7" x14ac:dyDescent="0.25">
      <c r="A37" s="2" t="s">
        <v>239</v>
      </c>
      <c r="B37" s="2" t="s">
        <v>240</v>
      </c>
      <c r="C37" s="2" t="s">
        <v>241</v>
      </c>
      <c r="E37" s="2" t="s">
        <v>242</v>
      </c>
      <c r="F37" s="2" t="s">
        <v>243</v>
      </c>
      <c r="G37" s="2" t="s">
        <v>244</v>
      </c>
    </row>
    <row r="38" spans="1:7" x14ac:dyDescent="0.25">
      <c r="A38" s="2" t="s">
        <v>245</v>
      </c>
      <c r="B38" s="2" t="s">
        <v>246</v>
      </c>
      <c r="C38" s="2" t="s">
        <v>247</v>
      </c>
      <c r="E38" s="2" t="s">
        <v>248</v>
      </c>
      <c r="F38" s="2" t="s">
        <v>249</v>
      </c>
      <c r="G38" s="2" t="s">
        <v>250</v>
      </c>
    </row>
    <row r="39" spans="1:7" x14ac:dyDescent="0.25">
      <c r="A39" s="2" t="s">
        <v>251</v>
      </c>
      <c r="B39" s="2" t="s">
        <v>252</v>
      </c>
      <c r="C39" s="2" t="s">
        <v>253</v>
      </c>
      <c r="E39" s="2" t="s">
        <v>254</v>
      </c>
      <c r="F39" s="2" t="s">
        <v>255</v>
      </c>
      <c r="G39" s="2" t="s">
        <v>256</v>
      </c>
    </row>
    <row r="40" spans="1:7" x14ac:dyDescent="0.25">
      <c r="A40" s="2" t="s">
        <v>257</v>
      </c>
      <c r="B40" s="2" t="s">
        <v>258</v>
      </c>
      <c r="C40" s="2" t="s">
        <v>259</v>
      </c>
      <c r="E40" s="2" t="s">
        <v>260</v>
      </c>
      <c r="F40" s="2" t="s">
        <v>261</v>
      </c>
      <c r="G40" s="2" t="s">
        <v>262</v>
      </c>
    </row>
    <row r="41" spans="1:7" x14ac:dyDescent="0.25">
      <c r="A41" s="2" t="s">
        <v>263</v>
      </c>
      <c r="B41" s="2" t="s">
        <v>264</v>
      </c>
      <c r="C41" s="2" t="s">
        <v>265</v>
      </c>
      <c r="E41" s="2" t="s">
        <v>266</v>
      </c>
      <c r="F41" s="2" t="s">
        <v>267</v>
      </c>
      <c r="G41" s="2" t="s">
        <v>268</v>
      </c>
    </row>
    <row r="42" spans="1:7" x14ac:dyDescent="0.25">
      <c r="A42" s="2" t="s">
        <v>269</v>
      </c>
      <c r="B42" s="2" t="s">
        <v>270</v>
      </c>
      <c r="C42" s="2" t="s">
        <v>271</v>
      </c>
      <c r="E42" s="2" t="s">
        <v>272</v>
      </c>
      <c r="F42" s="2" t="s">
        <v>273</v>
      </c>
      <c r="G42" s="2" t="s">
        <v>37</v>
      </c>
    </row>
    <row r="43" spans="1:7" x14ac:dyDescent="0.25">
      <c r="A43" s="2" t="s">
        <v>274</v>
      </c>
      <c r="B43" s="2" t="s">
        <v>275</v>
      </c>
      <c r="C43" s="2" t="s">
        <v>276</v>
      </c>
      <c r="E43" s="2" t="s">
        <v>277</v>
      </c>
      <c r="F43" s="2" t="s">
        <v>278</v>
      </c>
      <c r="G43" s="2" t="s">
        <v>44</v>
      </c>
    </row>
    <row r="44" spans="1:7" x14ac:dyDescent="0.25">
      <c r="A44" s="2" t="s">
        <v>279</v>
      </c>
      <c r="B44" s="2" t="s">
        <v>280</v>
      </c>
      <c r="C44" s="2" t="s">
        <v>276</v>
      </c>
      <c r="E44" s="2" t="s">
        <v>281</v>
      </c>
      <c r="F44" s="2" t="s">
        <v>282</v>
      </c>
      <c r="G44" s="2" t="s">
        <v>283</v>
      </c>
    </row>
    <row r="45" spans="1:7" x14ac:dyDescent="0.25">
      <c r="A45" s="2" t="s">
        <v>284</v>
      </c>
      <c r="B45" s="2" t="s">
        <v>285</v>
      </c>
      <c r="C45" s="2" t="s">
        <v>276</v>
      </c>
      <c r="E45" s="2" t="s">
        <v>286</v>
      </c>
      <c r="F45" s="2" t="s">
        <v>287</v>
      </c>
      <c r="G45" s="2" t="s">
        <v>288</v>
      </c>
    </row>
    <row r="46" spans="1:7" x14ac:dyDescent="0.25">
      <c r="A46" s="2" t="s">
        <v>289</v>
      </c>
      <c r="B46" s="2" t="s">
        <v>290</v>
      </c>
      <c r="C46" s="2" t="s">
        <v>276</v>
      </c>
      <c r="E46" s="2" t="s">
        <v>291</v>
      </c>
      <c r="F46" s="2" t="s">
        <v>292</v>
      </c>
      <c r="G46" s="2" t="s">
        <v>293</v>
      </c>
    </row>
    <row r="47" spans="1:7" x14ac:dyDescent="0.25">
      <c r="A47" s="2" t="s">
        <v>294</v>
      </c>
      <c r="B47" s="2" t="s">
        <v>295</v>
      </c>
      <c r="C47" s="2" t="s">
        <v>276</v>
      </c>
      <c r="E47" s="2" t="s">
        <v>296</v>
      </c>
      <c r="F47" s="2" t="s">
        <v>297</v>
      </c>
      <c r="G47" s="2" t="s">
        <v>298</v>
      </c>
    </row>
    <row r="48" spans="1:7" x14ac:dyDescent="0.25">
      <c r="A48" s="2" t="s">
        <v>299</v>
      </c>
      <c r="B48" s="2" t="s">
        <v>300</v>
      </c>
      <c r="C48" s="2" t="s">
        <v>276</v>
      </c>
      <c r="E48" s="2" t="s">
        <v>301</v>
      </c>
      <c r="F48" s="2" t="s">
        <v>302</v>
      </c>
      <c r="G48" s="2" t="s">
        <v>303</v>
      </c>
    </row>
    <row r="49" spans="1:7" x14ac:dyDescent="0.25">
      <c r="A49" s="2" t="s">
        <v>304</v>
      </c>
      <c r="B49" s="2" t="s">
        <v>305</v>
      </c>
      <c r="C49" s="2" t="s">
        <v>276</v>
      </c>
      <c r="E49" s="2" t="s">
        <v>306</v>
      </c>
      <c r="F49" s="2" t="s">
        <v>307</v>
      </c>
      <c r="G49" s="2" t="s">
        <v>308</v>
      </c>
    </row>
    <row r="50" spans="1:7" x14ac:dyDescent="0.25">
      <c r="A50" s="2" t="s">
        <v>309</v>
      </c>
      <c r="B50" s="2" t="s">
        <v>310</v>
      </c>
      <c r="C50" s="2" t="s">
        <v>276</v>
      </c>
      <c r="E50" s="2" t="s">
        <v>311</v>
      </c>
      <c r="F50" s="2" t="s">
        <v>312</v>
      </c>
      <c r="G50" s="2" t="s">
        <v>313</v>
      </c>
    </row>
    <row r="51" spans="1:7" x14ac:dyDescent="0.25">
      <c r="A51" s="2" t="s">
        <v>314</v>
      </c>
      <c r="B51" s="2" t="s">
        <v>315</v>
      </c>
      <c r="C51" s="2" t="s">
        <v>276</v>
      </c>
      <c r="E51" s="2" t="s">
        <v>316</v>
      </c>
      <c r="F51" s="2" t="s">
        <v>317</v>
      </c>
      <c r="G51" s="2" t="s">
        <v>318</v>
      </c>
    </row>
    <row r="52" spans="1:7" x14ac:dyDescent="0.25">
      <c r="A52" s="2" t="s">
        <v>319</v>
      </c>
      <c r="B52" s="2" t="s">
        <v>320</v>
      </c>
      <c r="C52" s="2" t="s">
        <v>276</v>
      </c>
      <c r="E52" s="2" t="s">
        <v>321</v>
      </c>
      <c r="F52" s="2" t="s">
        <v>322</v>
      </c>
      <c r="G52" s="2" t="s">
        <v>323</v>
      </c>
    </row>
    <row r="53" spans="1:7" x14ac:dyDescent="0.25">
      <c r="A53" s="2" t="s">
        <v>324</v>
      </c>
      <c r="B53" s="2" t="s">
        <v>325</v>
      </c>
      <c r="C53" s="2" t="s">
        <v>276</v>
      </c>
      <c r="E53" s="2" t="s">
        <v>326</v>
      </c>
      <c r="F53" s="2" t="s">
        <v>327</v>
      </c>
      <c r="G53" s="2" t="s">
        <v>328</v>
      </c>
    </row>
    <row r="54" spans="1:7" x14ac:dyDescent="0.25">
      <c r="A54" s="2" t="s">
        <v>329</v>
      </c>
      <c r="B54" s="2" t="s">
        <v>330</v>
      </c>
      <c r="C54" s="2" t="s">
        <v>276</v>
      </c>
      <c r="E54" s="2" t="s">
        <v>331</v>
      </c>
      <c r="F54" s="2" t="s">
        <v>332</v>
      </c>
      <c r="G54" s="2" t="s">
        <v>333</v>
      </c>
    </row>
    <row r="55" spans="1:7" x14ac:dyDescent="0.25">
      <c r="A55" s="2" t="s">
        <v>334</v>
      </c>
      <c r="B55" s="2" t="s">
        <v>335</v>
      </c>
      <c r="C55" s="2" t="s">
        <v>276</v>
      </c>
      <c r="E55" s="2" t="s">
        <v>336</v>
      </c>
      <c r="F55" s="2" t="s">
        <v>337</v>
      </c>
      <c r="G55" s="2" t="s">
        <v>338</v>
      </c>
    </row>
    <row r="56" spans="1:7" x14ac:dyDescent="0.25">
      <c r="A56" s="2" t="s">
        <v>339</v>
      </c>
      <c r="B56" s="2" t="s">
        <v>340</v>
      </c>
      <c r="C56" s="2" t="s">
        <v>276</v>
      </c>
      <c r="F56" s="2" t="s">
        <v>341</v>
      </c>
      <c r="G56" s="2" t="s">
        <v>342</v>
      </c>
    </row>
    <row r="57" spans="1:7" x14ac:dyDescent="0.25">
      <c r="A57" s="2" t="s">
        <v>343</v>
      </c>
      <c r="B57" s="2" t="s">
        <v>344</v>
      </c>
      <c r="C57" s="2" t="s">
        <v>276</v>
      </c>
      <c r="F57" s="2" t="s">
        <v>345</v>
      </c>
      <c r="G57" s="2" t="s">
        <v>346</v>
      </c>
    </row>
    <row r="58" spans="1:7" x14ac:dyDescent="0.25">
      <c r="A58" s="2" t="s">
        <v>347</v>
      </c>
      <c r="B58" s="2" t="s">
        <v>348</v>
      </c>
      <c r="C58" s="2" t="s">
        <v>276</v>
      </c>
      <c r="F58" s="2" t="s">
        <v>349</v>
      </c>
      <c r="G58" s="2" t="s">
        <v>350</v>
      </c>
    </row>
    <row r="59" spans="1:7" x14ac:dyDescent="0.25">
      <c r="A59" s="2" t="s">
        <v>351</v>
      </c>
      <c r="B59" s="2" t="s">
        <v>352</v>
      </c>
      <c r="C59" s="2" t="s">
        <v>276</v>
      </c>
      <c r="F59" s="2" t="s">
        <v>353</v>
      </c>
      <c r="G59" s="2" t="s">
        <v>354</v>
      </c>
    </row>
    <row r="60" spans="1:7" x14ac:dyDescent="0.25">
      <c r="A60" s="2" t="s">
        <v>355</v>
      </c>
      <c r="B60" s="2" t="s">
        <v>356</v>
      </c>
      <c r="C60" s="2" t="s">
        <v>276</v>
      </c>
      <c r="F60" s="2" t="s">
        <v>357</v>
      </c>
      <c r="G60" s="2" t="s">
        <v>358</v>
      </c>
    </row>
    <row r="61" spans="1:7" x14ac:dyDescent="0.25">
      <c r="A61" s="2" t="s">
        <v>359</v>
      </c>
      <c r="B61" s="2" t="s">
        <v>360</v>
      </c>
      <c r="C61" s="2" t="s">
        <v>276</v>
      </c>
      <c r="F61" s="2" t="s">
        <v>361</v>
      </c>
      <c r="G61" s="2" t="s">
        <v>362</v>
      </c>
    </row>
    <row r="62" spans="1:7" x14ac:dyDescent="0.25">
      <c r="A62" s="2" t="s">
        <v>363</v>
      </c>
      <c r="B62" s="2" t="s">
        <v>364</v>
      </c>
      <c r="C62" s="2" t="s">
        <v>276</v>
      </c>
      <c r="F62" s="2" t="s">
        <v>365</v>
      </c>
      <c r="G62" s="2" t="s">
        <v>366</v>
      </c>
    </row>
    <row r="63" spans="1:7" x14ac:dyDescent="0.25">
      <c r="A63" s="2" t="s">
        <v>367</v>
      </c>
      <c r="B63" s="2" t="s">
        <v>368</v>
      </c>
      <c r="C63" s="2" t="s">
        <v>276</v>
      </c>
      <c r="F63" s="2" t="s">
        <v>369</v>
      </c>
      <c r="G63" s="2" t="s">
        <v>370</v>
      </c>
    </row>
    <row r="64" spans="1:7" x14ac:dyDescent="0.25">
      <c r="A64" s="2" t="s">
        <v>371</v>
      </c>
      <c r="B64" s="2" t="s">
        <v>372</v>
      </c>
      <c r="C64" s="2" t="s">
        <v>276</v>
      </c>
      <c r="F64" s="2" t="s">
        <v>373</v>
      </c>
      <c r="G64" s="2" t="s">
        <v>374</v>
      </c>
    </row>
    <row r="65" spans="1:7" x14ac:dyDescent="0.25">
      <c r="A65" s="2" t="s">
        <v>375</v>
      </c>
      <c r="B65" s="2" t="s">
        <v>376</v>
      </c>
      <c r="C65" s="2" t="s">
        <v>276</v>
      </c>
      <c r="F65" s="2" t="s">
        <v>377</v>
      </c>
      <c r="G65" s="2" t="s">
        <v>378</v>
      </c>
    </row>
    <row r="66" spans="1:7" x14ac:dyDescent="0.25">
      <c r="A66" s="2" t="s">
        <v>379</v>
      </c>
      <c r="B66" s="2" t="s">
        <v>380</v>
      </c>
      <c r="C66" s="2" t="s">
        <v>276</v>
      </c>
      <c r="F66" s="2" t="s">
        <v>381</v>
      </c>
      <c r="G66" s="2" t="s">
        <v>382</v>
      </c>
    </row>
    <row r="67" spans="1:7" x14ac:dyDescent="0.25">
      <c r="A67" s="2" t="s">
        <v>383</v>
      </c>
      <c r="B67" s="2" t="s">
        <v>384</v>
      </c>
      <c r="C67" s="2" t="s">
        <v>276</v>
      </c>
      <c r="F67" s="2" t="s">
        <v>385</v>
      </c>
      <c r="G67" s="2" t="s">
        <v>386</v>
      </c>
    </row>
    <row r="68" spans="1:7" x14ac:dyDescent="0.25">
      <c r="A68" s="2" t="s">
        <v>387</v>
      </c>
      <c r="B68" s="2" t="s">
        <v>388</v>
      </c>
      <c r="C68" s="2" t="s">
        <v>276</v>
      </c>
      <c r="F68" s="2" t="s">
        <v>92</v>
      </c>
      <c r="G68" s="2" t="s">
        <v>389</v>
      </c>
    </row>
    <row r="69" spans="1:7" x14ac:dyDescent="0.25">
      <c r="A69" s="2" t="s">
        <v>390</v>
      </c>
      <c r="B69" s="2" t="s">
        <v>391</v>
      </c>
      <c r="C69" s="2" t="s">
        <v>276</v>
      </c>
      <c r="F69" s="2" t="s">
        <v>99</v>
      </c>
      <c r="G69" s="2" t="s">
        <v>392</v>
      </c>
    </row>
    <row r="70" spans="1:7" x14ac:dyDescent="0.25">
      <c r="A70" s="2" t="s">
        <v>393</v>
      </c>
      <c r="B70" s="2" t="s">
        <v>394</v>
      </c>
      <c r="C70" s="2" t="s">
        <v>276</v>
      </c>
      <c r="F70" s="2" t="s">
        <v>395</v>
      </c>
      <c r="G70" s="2" t="s">
        <v>396</v>
      </c>
    </row>
    <row r="71" spans="1:7" x14ac:dyDescent="0.25">
      <c r="A71" s="2" t="s">
        <v>397</v>
      </c>
      <c r="B71" s="2" t="s">
        <v>398</v>
      </c>
      <c r="C71" s="2" t="s">
        <v>276</v>
      </c>
      <c r="F71" s="2" t="s">
        <v>399</v>
      </c>
      <c r="G71" s="2" t="s">
        <v>400</v>
      </c>
    </row>
    <row r="72" spans="1:7" x14ac:dyDescent="0.25">
      <c r="A72" s="2" t="s">
        <v>401</v>
      </c>
      <c r="B72" s="2" t="s">
        <v>402</v>
      </c>
      <c r="C72" s="2" t="s">
        <v>276</v>
      </c>
      <c r="F72" s="2" t="s">
        <v>403</v>
      </c>
      <c r="G72" s="2" t="s">
        <v>404</v>
      </c>
    </row>
    <row r="73" spans="1:7" x14ac:dyDescent="0.25">
      <c r="A73" s="2" t="s">
        <v>405</v>
      </c>
      <c r="B73" s="2" t="s">
        <v>406</v>
      </c>
      <c r="C73" s="2" t="s">
        <v>276</v>
      </c>
      <c r="F73" s="2" t="s">
        <v>407</v>
      </c>
      <c r="G73" s="2" t="s">
        <v>408</v>
      </c>
    </row>
    <row r="74" spans="1:7" x14ac:dyDescent="0.25">
      <c r="A74" s="2" t="s">
        <v>409</v>
      </c>
      <c r="B74" s="2" t="s">
        <v>410</v>
      </c>
      <c r="C74" s="2" t="s">
        <v>276</v>
      </c>
      <c r="F74" s="2" t="s">
        <v>411</v>
      </c>
      <c r="G74" s="2" t="s">
        <v>412</v>
      </c>
    </row>
    <row r="75" spans="1:7" x14ac:dyDescent="0.25">
      <c r="A75" s="2" t="s">
        <v>413</v>
      </c>
      <c r="B75" s="2" t="s">
        <v>414</v>
      </c>
      <c r="C75" s="2" t="s">
        <v>276</v>
      </c>
      <c r="F75" s="2" t="s">
        <v>415</v>
      </c>
      <c r="G75" s="2" t="s">
        <v>416</v>
      </c>
    </row>
    <row r="76" spans="1:7" x14ac:dyDescent="0.25">
      <c r="A76" s="2" t="s">
        <v>417</v>
      </c>
      <c r="B76" s="2" t="s">
        <v>418</v>
      </c>
      <c r="C76" s="2" t="s">
        <v>276</v>
      </c>
      <c r="F76" s="2" t="s">
        <v>282</v>
      </c>
      <c r="G76" s="2" t="s">
        <v>419</v>
      </c>
    </row>
    <row r="77" spans="1:7" x14ac:dyDescent="0.25">
      <c r="A77" s="2" t="s">
        <v>420</v>
      </c>
      <c r="B77" s="2" t="s">
        <v>421</v>
      </c>
      <c r="C77" s="2" t="s">
        <v>276</v>
      </c>
      <c r="F77" s="2" t="s">
        <v>287</v>
      </c>
      <c r="G77" s="2" t="s">
        <v>422</v>
      </c>
    </row>
    <row r="78" spans="1:7" x14ac:dyDescent="0.25">
      <c r="A78" s="2" t="s">
        <v>423</v>
      </c>
      <c r="B78" s="2" t="s">
        <v>424</v>
      </c>
      <c r="C78" s="2" t="s">
        <v>276</v>
      </c>
      <c r="F78" s="2" t="s">
        <v>425</v>
      </c>
      <c r="G78" s="2" t="s">
        <v>426</v>
      </c>
    </row>
    <row r="79" spans="1:7" x14ac:dyDescent="0.25">
      <c r="A79" s="2" t="s">
        <v>423</v>
      </c>
      <c r="B79" s="2" t="s">
        <v>427</v>
      </c>
      <c r="C79" s="2" t="s">
        <v>276</v>
      </c>
      <c r="F79" s="2" t="s">
        <v>428</v>
      </c>
      <c r="G79" s="2" t="s">
        <v>429</v>
      </c>
    </row>
    <row r="80" spans="1:7" x14ac:dyDescent="0.25">
      <c r="A80" s="2" t="s">
        <v>430</v>
      </c>
      <c r="B80" s="2" t="s">
        <v>431</v>
      </c>
      <c r="C80" s="2" t="s">
        <v>276</v>
      </c>
      <c r="F80" s="2" t="s">
        <v>432</v>
      </c>
      <c r="G80" s="2" t="s">
        <v>412</v>
      </c>
    </row>
    <row r="81" spans="1:7" x14ac:dyDescent="0.25">
      <c r="A81" s="2" t="s">
        <v>433</v>
      </c>
      <c r="B81" s="2" t="s">
        <v>434</v>
      </c>
      <c r="C81" s="2" t="s">
        <v>276</v>
      </c>
      <c r="F81" s="2" t="s">
        <v>435</v>
      </c>
      <c r="G81" s="2" t="s">
        <v>416</v>
      </c>
    </row>
    <row r="82" spans="1:7" x14ac:dyDescent="0.25">
      <c r="A82" s="2" t="s">
        <v>436</v>
      </c>
      <c r="B82" s="2" t="s">
        <v>437</v>
      </c>
      <c r="C82" s="2" t="s">
        <v>276</v>
      </c>
      <c r="F82" s="2" t="s">
        <v>438</v>
      </c>
      <c r="G82" s="2" t="s">
        <v>439</v>
      </c>
    </row>
    <row r="83" spans="1:7" x14ac:dyDescent="0.25">
      <c r="A83" s="2" t="s">
        <v>440</v>
      </c>
      <c r="B83" s="2" t="s">
        <v>441</v>
      </c>
      <c r="C83" s="2" t="s">
        <v>276</v>
      </c>
      <c r="F83" s="2" t="s">
        <v>442</v>
      </c>
      <c r="G83" s="2" t="s">
        <v>443</v>
      </c>
    </row>
    <row r="84" spans="1:7" x14ac:dyDescent="0.25">
      <c r="A84" s="2" t="s">
        <v>444</v>
      </c>
      <c r="B84" s="2" t="s">
        <v>445</v>
      </c>
      <c r="C84" s="2" t="s">
        <v>276</v>
      </c>
      <c r="F84" s="2" t="s">
        <v>446</v>
      </c>
      <c r="G84" s="2" t="s">
        <v>447</v>
      </c>
    </row>
    <row r="85" spans="1:7" x14ac:dyDescent="0.25">
      <c r="A85" s="2" t="s">
        <v>448</v>
      </c>
      <c r="B85" s="2" t="s">
        <v>449</v>
      </c>
      <c r="C85" s="2" t="s">
        <v>276</v>
      </c>
      <c r="F85" s="2" t="s">
        <v>450</v>
      </c>
      <c r="G85" s="2" t="s">
        <v>451</v>
      </c>
    </row>
    <row r="86" spans="1:7" x14ac:dyDescent="0.25">
      <c r="A86" s="2" t="s">
        <v>452</v>
      </c>
      <c r="B86" s="2" t="s">
        <v>453</v>
      </c>
      <c r="C86" s="2" t="s">
        <v>276</v>
      </c>
      <c r="F86" s="2" t="s">
        <v>454</v>
      </c>
      <c r="G86" s="2" t="s">
        <v>455</v>
      </c>
    </row>
    <row r="87" spans="1:7" x14ac:dyDescent="0.25">
      <c r="A87" s="2" t="s">
        <v>456</v>
      </c>
      <c r="B87" s="2" t="s">
        <v>457</v>
      </c>
      <c r="C87" s="2" t="s">
        <v>276</v>
      </c>
      <c r="F87" s="2" t="s">
        <v>458</v>
      </c>
      <c r="G87" s="2" t="s">
        <v>459</v>
      </c>
    </row>
    <row r="88" spans="1:7" x14ac:dyDescent="0.25">
      <c r="A88" s="2" t="s">
        <v>460</v>
      </c>
      <c r="B88" s="2" t="s">
        <v>461</v>
      </c>
      <c r="C88" s="2" t="s">
        <v>276</v>
      </c>
      <c r="F88" s="2" t="s">
        <v>462</v>
      </c>
      <c r="G88" s="2" t="s">
        <v>463</v>
      </c>
    </row>
    <row r="89" spans="1:7" x14ac:dyDescent="0.25">
      <c r="A89" s="2" t="s">
        <v>464</v>
      </c>
      <c r="B89" s="2" t="s">
        <v>465</v>
      </c>
      <c r="C89" s="2" t="s">
        <v>276</v>
      </c>
      <c r="F89" s="2" t="s">
        <v>466</v>
      </c>
      <c r="G89" s="2" t="s">
        <v>467</v>
      </c>
    </row>
    <row r="90" spans="1:7" x14ac:dyDescent="0.25">
      <c r="A90" s="2" t="s">
        <v>468</v>
      </c>
      <c r="B90" s="2" t="s">
        <v>469</v>
      </c>
      <c r="C90" s="2" t="s">
        <v>276</v>
      </c>
      <c r="F90" s="2" t="s">
        <v>470</v>
      </c>
      <c r="G90" s="2" t="s">
        <v>471</v>
      </c>
    </row>
    <row r="91" spans="1:7" x14ac:dyDescent="0.25">
      <c r="A91" s="2" t="s">
        <v>472</v>
      </c>
      <c r="B91" s="2" t="s">
        <v>473</v>
      </c>
      <c r="C91" s="2" t="s">
        <v>276</v>
      </c>
      <c r="F91" s="2" t="s">
        <v>474</v>
      </c>
      <c r="G91" s="2" t="s">
        <v>475</v>
      </c>
    </row>
    <row r="92" spans="1:7" x14ac:dyDescent="0.25">
      <c r="A92" s="2" t="s">
        <v>476</v>
      </c>
      <c r="B92" s="2" t="s">
        <v>477</v>
      </c>
      <c r="C92" s="2" t="s">
        <v>276</v>
      </c>
      <c r="F92" s="2" t="s">
        <v>478</v>
      </c>
      <c r="G92" s="2" t="s">
        <v>479</v>
      </c>
    </row>
    <row r="93" spans="1:7" x14ac:dyDescent="0.25">
      <c r="A93" s="2" t="s">
        <v>480</v>
      </c>
      <c r="B93" s="2" t="s">
        <v>481</v>
      </c>
      <c r="C93" s="2" t="s">
        <v>276</v>
      </c>
      <c r="F93" s="2" t="s">
        <v>482</v>
      </c>
      <c r="G93" s="2" t="s">
        <v>483</v>
      </c>
    </row>
    <row r="94" spans="1:7" x14ac:dyDescent="0.25">
      <c r="A94" s="2" t="s">
        <v>484</v>
      </c>
      <c r="B94" s="2" t="s">
        <v>485</v>
      </c>
      <c r="C94" s="2" t="s">
        <v>276</v>
      </c>
      <c r="F94" s="2" t="s">
        <v>486</v>
      </c>
      <c r="G94" s="2" t="s">
        <v>487</v>
      </c>
    </row>
    <row r="95" spans="1:7" x14ac:dyDescent="0.25">
      <c r="A95" s="2" t="s">
        <v>488</v>
      </c>
      <c r="B95" s="2" t="s">
        <v>489</v>
      </c>
      <c r="C95" s="2" t="s">
        <v>276</v>
      </c>
      <c r="F95" s="2" t="s">
        <v>490</v>
      </c>
      <c r="G95" s="2" t="s">
        <v>491</v>
      </c>
    </row>
    <row r="96" spans="1:7" x14ac:dyDescent="0.25">
      <c r="A96" s="2" t="s">
        <v>492</v>
      </c>
      <c r="B96" s="2" t="s">
        <v>493</v>
      </c>
      <c r="C96" s="2" t="s">
        <v>276</v>
      </c>
      <c r="F96" s="2" t="s">
        <v>494</v>
      </c>
      <c r="G96" s="2" t="s">
        <v>495</v>
      </c>
    </row>
    <row r="97" spans="1:7" x14ac:dyDescent="0.25">
      <c r="A97" s="2" t="s">
        <v>496</v>
      </c>
      <c r="B97" s="2" t="s">
        <v>497</v>
      </c>
      <c r="C97" s="2" t="s">
        <v>276</v>
      </c>
      <c r="F97" s="2" t="s">
        <v>498</v>
      </c>
      <c r="G97" s="2" t="s">
        <v>499</v>
      </c>
    </row>
    <row r="98" spans="1:7" x14ac:dyDescent="0.25">
      <c r="A98" s="2" t="s">
        <v>500</v>
      </c>
      <c r="B98" s="2" t="s">
        <v>501</v>
      </c>
      <c r="C98" s="2" t="s">
        <v>276</v>
      </c>
      <c r="F98" s="2" t="s">
        <v>502</v>
      </c>
      <c r="G98" s="2" t="s">
        <v>503</v>
      </c>
    </row>
    <row r="99" spans="1:7" x14ac:dyDescent="0.25">
      <c r="A99" s="2" t="s">
        <v>504</v>
      </c>
      <c r="B99" s="2" t="s">
        <v>505</v>
      </c>
      <c r="C99" s="2" t="s">
        <v>276</v>
      </c>
      <c r="F99" s="2" t="s">
        <v>506</v>
      </c>
      <c r="G99" s="2" t="s">
        <v>507</v>
      </c>
    </row>
    <row r="100" spans="1:7" x14ac:dyDescent="0.25">
      <c r="A100" s="2" t="s">
        <v>508</v>
      </c>
      <c r="B100" s="2" t="s">
        <v>509</v>
      </c>
      <c r="C100" s="2" t="s">
        <v>276</v>
      </c>
      <c r="F100" s="2" t="s">
        <v>510</v>
      </c>
      <c r="G100" s="2" t="s">
        <v>511</v>
      </c>
    </row>
    <row r="101" spans="1:7" x14ac:dyDescent="0.25">
      <c r="A101" s="2" t="s">
        <v>512</v>
      </c>
      <c r="B101" s="2" t="s">
        <v>513</v>
      </c>
      <c r="C101" s="2" t="s">
        <v>276</v>
      </c>
      <c r="F101" s="2" t="s">
        <v>514</v>
      </c>
      <c r="G101" s="2" t="s">
        <v>515</v>
      </c>
    </row>
    <row r="102" spans="1:7" x14ac:dyDescent="0.25">
      <c r="A102" s="2" t="s">
        <v>516</v>
      </c>
      <c r="B102" s="2" t="s">
        <v>517</v>
      </c>
      <c r="C102" s="2" t="s">
        <v>276</v>
      </c>
      <c r="F102" s="2" t="s">
        <v>518</v>
      </c>
      <c r="G102" s="2" t="s">
        <v>519</v>
      </c>
    </row>
    <row r="103" spans="1:7" x14ac:dyDescent="0.25">
      <c r="A103" s="2" t="s">
        <v>520</v>
      </c>
      <c r="B103" s="2" t="s">
        <v>521</v>
      </c>
      <c r="C103" s="2" t="s">
        <v>276</v>
      </c>
      <c r="F103" s="2" t="s">
        <v>522</v>
      </c>
      <c r="G103" s="2" t="s">
        <v>523</v>
      </c>
    </row>
    <row r="104" spans="1:7" x14ac:dyDescent="0.25">
      <c r="A104" s="2" t="s">
        <v>524</v>
      </c>
      <c r="B104" s="2" t="s">
        <v>276</v>
      </c>
      <c r="C104" s="2" t="s">
        <v>276</v>
      </c>
      <c r="F104" s="2" t="s">
        <v>525</v>
      </c>
      <c r="G104" s="2" t="s">
        <v>526</v>
      </c>
    </row>
    <row r="105" spans="1:7" x14ac:dyDescent="0.25">
      <c r="A105" s="2" t="s">
        <v>527</v>
      </c>
      <c r="B105" s="2" t="s">
        <v>276</v>
      </c>
      <c r="C105" s="2" t="s">
        <v>276</v>
      </c>
      <c r="F105" s="2" t="s">
        <v>528</v>
      </c>
      <c r="G105" s="2" t="s">
        <v>529</v>
      </c>
    </row>
    <row r="106" spans="1:7" x14ac:dyDescent="0.25">
      <c r="A106" s="2" t="s">
        <v>530</v>
      </c>
      <c r="B106" s="2" t="s">
        <v>276</v>
      </c>
      <c r="C106" s="2" t="s">
        <v>276</v>
      </c>
      <c r="F106" s="2" t="s">
        <v>92</v>
      </c>
      <c r="G106" s="2" t="s">
        <v>531</v>
      </c>
    </row>
    <row r="107" spans="1:7" x14ac:dyDescent="0.25">
      <c r="A107" s="2" t="s">
        <v>532</v>
      </c>
      <c r="B107" s="2" t="s">
        <v>276</v>
      </c>
      <c r="C107" s="2" t="s">
        <v>276</v>
      </c>
      <c r="F107" s="2" t="s">
        <v>99</v>
      </c>
      <c r="G107" s="2" t="s">
        <v>533</v>
      </c>
    </row>
    <row r="108" spans="1:7" x14ac:dyDescent="0.25">
      <c r="A108" s="2" t="s">
        <v>534</v>
      </c>
      <c r="B108" s="2" t="s">
        <v>276</v>
      </c>
      <c r="C108" s="2" t="s">
        <v>276</v>
      </c>
      <c r="F108" s="2" t="s">
        <v>191</v>
      </c>
      <c r="G108" s="2" t="s">
        <v>51</v>
      </c>
    </row>
    <row r="109" spans="1:7" x14ac:dyDescent="0.25">
      <c r="A109" s="2" t="s">
        <v>535</v>
      </c>
      <c r="B109" s="2" t="s">
        <v>276</v>
      </c>
      <c r="C109" s="2" t="s">
        <v>276</v>
      </c>
      <c r="F109" s="2" t="s">
        <v>197</v>
      </c>
      <c r="G109" s="2" t="s">
        <v>58</v>
      </c>
    </row>
    <row r="110" spans="1:7" x14ac:dyDescent="0.25">
      <c r="A110" s="2" t="s">
        <v>536</v>
      </c>
      <c r="B110" s="2" t="s">
        <v>276</v>
      </c>
      <c r="C110" s="2" t="s">
        <v>276</v>
      </c>
      <c r="F110" s="2" t="s">
        <v>537</v>
      </c>
      <c r="G110" s="2" t="s">
        <v>538</v>
      </c>
    </row>
    <row r="111" spans="1:7" x14ac:dyDescent="0.25">
      <c r="A111" s="2" t="s">
        <v>539</v>
      </c>
      <c r="B111" s="2" t="s">
        <v>276</v>
      </c>
      <c r="C111" s="2" t="s">
        <v>276</v>
      </c>
      <c r="F111" s="2" t="s">
        <v>540</v>
      </c>
      <c r="G111" s="2" t="s">
        <v>541</v>
      </c>
    </row>
    <row r="112" spans="1:7" x14ac:dyDescent="0.25">
      <c r="A112" s="2" t="s">
        <v>542</v>
      </c>
      <c r="B112" s="2" t="s">
        <v>276</v>
      </c>
      <c r="C112" s="2" t="s">
        <v>276</v>
      </c>
      <c r="F112" s="2" t="s">
        <v>543</v>
      </c>
      <c r="G112" s="2" t="s">
        <v>544</v>
      </c>
    </row>
    <row r="113" spans="1:7" x14ac:dyDescent="0.25">
      <c r="A113" s="2" t="s">
        <v>545</v>
      </c>
      <c r="B113" s="2" t="s">
        <v>276</v>
      </c>
      <c r="C113" s="2" t="s">
        <v>276</v>
      </c>
      <c r="F113" s="2" t="s">
        <v>546</v>
      </c>
      <c r="G113" s="2" t="s">
        <v>547</v>
      </c>
    </row>
    <row r="114" spans="1:7" x14ac:dyDescent="0.25">
      <c r="A114" s="2" t="s">
        <v>548</v>
      </c>
      <c r="B114" s="2" t="s">
        <v>276</v>
      </c>
      <c r="C114" s="2" t="s">
        <v>276</v>
      </c>
      <c r="F114" s="2" t="s">
        <v>322</v>
      </c>
      <c r="G114" s="2" t="s">
        <v>549</v>
      </c>
    </row>
    <row r="115" spans="1:7" x14ac:dyDescent="0.25">
      <c r="A115" s="2" t="s">
        <v>550</v>
      </c>
      <c r="B115" s="2" t="s">
        <v>276</v>
      </c>
      <c r="C115" s="2" t="s">
        <v>276</v>
      </c>
      <c r="F115" s="2" t="s">
        <v>327</v>
      </c>
      <c r="G115" s="2" t="s">
        <v>551</v>
      </c>
    </row>
    <row r="116" spans="1:7" x14ac:dyDescent="0.25">
      <c r="A116" s="2" t="s">
        <v>552</v>
      </c>
      <c r="B116" s="2" t="s">
        <v>276</v>
      </c>
      <c r="C116" s="2" t="s">
        <v>276</v>
      </c>
      <c r="F116" s="2" t="s">
        <v>225</v>
      </c>
      <c r="G116" s="2" t="s">
        <v>553</v>
      </c>
    </row>
    <row r="117" spans="1:7" x14ac:dyDescent="0.25">
      <c r="A117" s="2" t="s">
        <v>554</v>
      </c>
      <c r="B117" s="2" t="s">
        <v>276</v>
      </c>
      <c r="C117" s="2" t="s">
        <v>276</v>
      </c>
      <c r="F117" s="2" t="s">
        <v>231</v>
      </c>
      <c r="G117" s="2" t="s">
        <v>555</v>
      </c>
    </row>
    <row r="118" spans="1:7" x14ac:dyDescent="0.25">
      <c r="A118" s="2" t="s">
        <v>556</v>
      </c>
      <c r="B118" s="2" t="s">
        <v>276</v>
      </c>
      <c r="C118" s="2" t="s">
        <v>276</v>
      </c>
      <c r="F118" s="2" t="s">
        <v>332</v>
      </c>
      <c r="G118" s="2" t="s">
        <v>557</v>
      </c>
    </row>
    <row r="119" spans="1:7" x14ac:dyDescent="0.25">
      <c r="A119" s="2" t="s">
        <v>558</v>
      </c>
      <c r="B119" s="2" t="s">
        <v>276</v>
      </c>
      <c r="C119" s="2" t="s">
        <v>276</v>
      </c>
      <c r="F119" s="2" t="s">
        <v>337</v>
      </c>
      <c r="G119" s="2" t="s">
        <v>559</v>
      </c>
    </row>
    <row r="120" spans="1:7" x14ac:dyDescent="0.25">
      <c r="A120" s="2" t="s">
        <v>560</v>
      </c>
      <c r="B120" s="2" t="s">
        <v>276</v>
      </c>
      <c r="C120" s="2" t="s">
        <v>276</v>
      </c>
      <c r="F120" s="2" t="s">
        <v>561</v>
      </c>
    </row>
    <row r="121" spans="1:7" x14ac:dyDescent="0.25">
      <c r="A121" s="2" t="s">
        <v>562</v>
      </c>
      <c r="B121" s="2" t="s">
        <v>276</v>
      </c>
      <c r="C121" s="2" t="s">
        <v>276</v>
      </c>
      <c r="F121" s="2" t="s">
        <v>563</v>
      </c>
    </row>
    <row r="122" spans="1:7" x14ac:dyDescent="0.25">
      <c r="A122" s="2" t="s">
        <v>564</v>
      </c>
      <c r="B122" s="2" t="s">
        <v>276</v>
      </c>
      <c r="C122" s="2" t="s">
        <v>276</v>
      </c>
      <c r="F122" s="2" t="s">
        <v>273</v>
      </c>
    </row>
    <row r="123" spans="1:7" x14ac:dyDescent="0.25">
      <c r="A123" s="2" t="s">
        <v>565</v>
      </c>
      <c r="B123" s="2" t="s">
        <v>276</v>
      </c>
      <c r="C123" s="2" t="s">
        <v>276</v>
      </c>
      <c r="F123" s="2" t="s">
        <v>278</v>
      </c>
    </row>
    <row r="124" spans="1:7" x14ac:dyDescent="0.25">
      <c r="A124" s="2" t="s">
        <v>566</v>
      </c>
      <c r="B124" s="2" t="s">
        <v>276</v>
      </c>
      <c r="C124" s="2" t="s">
        <v>276</v>
      </c>
      <c r="F124" s="2" t="s">
        <v>341</v>
      </c>
    </row>
    <row r="125" spans="1:7" x14ac:dyDescent="0.25">
      <c r="A125" s="2" t="s">
        <v>567</v>
      </c>
      <c r="B125" s="2" t="s">
        <v>276</v>
      </c>
      <c r="C125" s="2" t="s">
        <v>276</v>
      </c>
      <c r="F125" s="2" t="s">
        <v>345</v>
      </c>
    </row>
    <row r="126" spans="1:7" x14ac:dyDescent="0.25">
      <c r="A126" s="2" t="s">
        <v>568</v>
      </c>
      <c r="B126" s="2" t="s">
        <v>276</v>
      </c>
      <c r="C126" s="2" t="s">
        <v>276</v>
      </c>
      <c r="F126" s="2" t="s">
        <v>569</v>
      </c>
    </row>
    <row r="127" spans="1:7" x14ac:dyDescent="0.25">
      <c r="A127" s="2" t="s">
        <v>570</v>
      </c>
      <c r="B127" s="2" t="s">
        <v>276</v>
      </c>
      <c r="C127" s="2" t="s">
        <v>276</v>
      </c>
      <c r="F127" s="2" t="s">
        <v>571</v>
      </c>
    </row>
    <row r="128" spans="1:7" x14ac:dyDescent="0.25">
      <c r="A128" s="2" t="s">
        <v>572</v>
      </c>
      <c r="B128" s="2" t="s">
        <v>276</v>
      </c>
      <c r="C128" s="2" t="s">
        <v>276</v>
      </c>
      <c r="F128" s="2" t="s">
        <v>573</v>
      </c>
    </row>
    <row r="129" spans="1:6" x14ac:dyDescent="0.25">
      <c r="A129" s="2" t="s">
        <v>574</v>
      </c>
      <c r="B129" s="2" t="s">
        <v>276</v>
      </c>
      <c r="C129" s="2" t="s">
        <v>276</v>
      </c>
      <c r="F129" s="2" t="s">
        <v>575</v>
      </c>
    </row>
    <row r="130" spans="1:6" x14ac:dyDescent="0.25">
      <c r="A130" s="2" t="s">
        <v>576</v>
      </c>
      <c r="B130" s="2" t="s">
        <v>276</v>
      </c>
      <c r="C130" s="2" t="s">
        <v>276</v>
      </c>
      <c r="F130" s="2" t="s">
        <v>381</v>
      </c>
    </row>
    <row r="131" spans="1:6" x14ac:dyDescent="0.25">
      <c r="A131" s="2" t="s">
        <v>577</v>
      </c>
      <c r="B131" s="2" t="s">
        <v>276</v>
      </c>
      <c r="C131" s="2" t="s">
        <v>276</v>
      </c>
      <c r="F131" s="2" t="s">
        <v>385</v>
      </c>
    </row>
    <row r="132" spans="1:6" x14ac:dyDescent="0.25">
      <c r="A132" s="2" t="s">
        <v>578</v>
      </c>
      <c r="B132" s="2" t="s">
        <v>276</v>
      </c>
      <c r="C132" s="2" t="s">
        <v>276</v>
      </c>
      <c r="F132" s="2" t="s">
        <v>579</v>
      </c>
    </row>
    <row r="133" spans="1:6" x14ac:dyDescent="0.25">
      <c r="A133" s="2" t="s">
        <v>580</v>
      </c>
      <c r="B133" s="2" t="s">
        <v>276</v>
      </c>
      <c r="C133" s="2" t="s">
        <v>276</v>
      </c>
      <c r="F133" s="2" t="s">
        <v>581</v>
      </c>
    </row>
    <row r="134" spans="1:6" x14ac:dyDescent="0.25">
      <c r="A134" s="2" t="s">
        <v>582</v>
      </c>
      <c r="B134" s="2" t="s">
        <v>276</v>
      </c>
      <c r="C134" s="2" t="s">
        <v>276</v>
      </c>
      <c r="F134" s="2" t="s">
        <v>583</v>
      </c>
    </row>
    <row r="135" spans="1:6" x14ac:dyDescent="0.25">
      <c r="A135" s="2" t="s">
        <v>584</v>
      </c>
      <c r="B135" s="2" t="s">
        <v>276</v>
      </c>
      <c r="C135" s="2" t="s">
        <v>276</v>
      </c>
      <c r="F135" s="2" t="s">
        <v>585</v>
      </c>
    </row>
    <row r="136" spans="1:6" x14ac:dyDescent="0.25">
      <c r="A136" s="2" t="s">
        <v>586</v>
      </c>
      <c r="B136" s="2" t="s">
        <v>276</v>
      </c>
      <c r="C136" s="2" t="s">
        <v>276</v>
      </c>
      <c r="F136" s="2" t="s">
        <v>587</v>
      </c>
    </row>
    <row r="137" spans="1:6" x14ac:dyDescent="0.25">
      <c r="A137" s="2" t="s">
        <v>588</v>
      </c>
      <c r="B137" s="2" t="s">
        <v>276</v>
      </c>
      <c r="C137" s="2" t="s">
        <v>276</v>
      </c>
      <c r="F137" s="2" t="s">
        <v>589</v>
      </c>
    </row>
    <row r="138" spans="1:6" x14ac:dyDescent="0.25">
      <c r="A138" s="2" t="s">
        <v>590</v>
      </c>
      <c r="B138" s="2" t="s">
        <v>276</v>
      </c>
      <c r="C138" s="2" t="s">
        <v>276</v>
      </c>
      <c r="F138" s="2" t="s">
        <v>591</v>
      </c>
    </row>
    <row r="139" spans="1:6" x14ac:dyDescent="0.25">
      <c r="A139" s="2" t="s">
        <v>592</v>
      </c>
      <c r="B139" s="2" t="s">
        <v>276</v>
      </c>
      <c r="C139" s="2" t="s">
        <v>276</v>
      </c>
      <c r="F139" s="2" t="s">
        <v>593</v>
      </c>
    </row>
    <row r="140" spans="1:6" x14ac:dyDescent="0.25">
      <c r="A140" s="2" t="s">
        <v>594</v>
      </c>
      <c r="B140" s="2" t="s">
        <v>276</v>
      </c>
      <c r="C140" s="2" t="s">
        <v>276</v>
      </c>
      <c r="F140" s="2" t="s">
        <v>50</v>
      </c>
    </row>
    <row r="141" spans="1:6" x14ac:dyDescent="0.25">
      <c r="A141" s="2" t="s">
        <v>595</v>
      </c>
      <c r="B141" s="2" t="s">
        <v>276</v>
      </c>
      <c r="C141" s="2" t="s">
        <v>276</v>
      </c>
      <c r="F141" s="2" t="s">
        <v>57</v>
      </c>
    </row>
    <row r="142" spans="1:6" x14ac:dyDescent="0.25">
      <c r="A142" s="2" t="s">
        <v>596</v>
      </c>
      <c r="B142" s="2" t="s">
        <v>276</v>
      </c>
      <c r="C142" s="2" t="s">
        <v>276</v>
      </c>
      <c r="F142" s="2" t="s">
        <v>597</v>
      </c>
    </row>
    <row r="143" spans="1:6" x14ac:dyDescent="0.25">
      <c r="A143" s="2" t="s">
        <v>598</v>
      </c>
      <c r="B143" s="2" t="s">
        <v>276</v>
      </c>
      <c r="C143" s="2" t="s">
        <v>276</v>
      </c>
      <c r="F143" s="2" t="s">
        <v>599</v>
      </c>
    </row>
    <row r="144" spans="1:6" x14ac:dyDescent="0.25">
      <c r="A144" s="2" t="s">
        <v>600</v>
      </c>
      <c r="B144" s="2" t="s">
        <v>276</v>
      </c>
      <c r="C144" s="2" t="s">
        <v>276</v>
      </c>
      <c r="F144" s="2" t="s">
        <v>601</v>
      </c>
    </row>
    <row r="145" spans="1:6" x14ac:dyDescent="0.25">
      <c r="A145" s="2" t="s">
        <v>602</v>
      </c>
      <c r="B145" s="2" t="s">
        <v>276</v>
      </c>
      <c r="C145" s="2" t="s">
        <v>276</v>
      </c>
      <c r="F145" s="2" t="s">
        <v>603</v>
      </c>
    </row>
    <row r="146" spans="1:6" x14ac:dyDescent="0.25">
      <c r="A146" s="2" t="s">
        <v>604</v>
      </c>
      <c r="B146" s="2" t="s">
        <v>276</v>
      </c>
      <c r="C146" s="2" t="s">
        <v>276</v>
      </c>
      <c r="F146" s="2" t="s">
        <v>605</v>
      </c>
    </row>
    <row r="147" spans="1:6" x14ac:dyDescent="0.25">
      <c r="A147" s="2" t="s">
        <v>606</v>
      </c>
      <c r="B147" s="2" t="s">
        <v>276</v>
      </c>
      <c r="C147" s="2" t="s">
        <v>276</v>
      </c>
      <c r="F147" s="2" t="s">
        <v>607</v>
      </c>
    </row>
    <row r="148" spans="1:6" x14ac:dyDescent="0.25">
      <c r="A148" s="2" t="s">
        <v>608</v>
      </c>
      <c r="B148" s="2" t="s">
        <v>276</v>
      </c>
      <c r="C148" s="2" t="s">
        <v>276</v>
      </c>
      <c r="F148" s="2" t="s">
        <v>609</v>
      </c>
    </row>
    <row r="149" spans="1:6" x14ac:dyDescent="0.25">
      <c r="A149" s="2" t="s">
        <v>610</v>
      </c>
      <c r="B149" s="2" t="s">
        <v>276</v>
      </c>
      <c r="C149" s="2" t="s">
        <v>276</v>
      </c>
      <c r="F149" s="2" t="s">
        <v>611</v>
      </c>
    </row>
    <row r="150" spans="1:6" x14ac:dyDescent="0.25">
      <c r="A150" s="2" t="s">
        <v>612</v>
      </c>
      <c r="B150" s="2" t="s">
        <v>276</v>
      </c>
      <c r="C150" s="2" t="s">
        <v>276</v>
      </c>
      <c r="F150" s="2" t="s">
        <v>613</v>
      </c>
    </row>
    <row r="151" spans="1:6" x14ac:dyDescent="0.25">
      <c r="A151" s="2" t="s">
        <v>614</v>
      </c>
      <c r="B151" s="2" t="s">
        <v>276</v>
      </c>
      <c r="C151" s="2" t="s">
        <v>276</v>
      </c>
      <c r="F151" s="2" t="s">
        <v>615</v>
      </c>
    </row>
    <row r="152" spans="1:6" x14ac:dyDescent="0.25">
      <c r="A152" s="2" t="s">
        <v>616</v>
      </c>
      <c r="B152" s="2" t="s">
        <v>276</v>
      </c>
      <c r="C152" s="2" t="s">
        <v>276</v>
      </c>
      <c r="F152" s="2" t="s">
        <v>617</v>
      </c>
    </row>
    <row r="153" spans="1:6" x14ac:dyDescent="0.25">
      <c r="A153" s="2" t="s">
        <v>618</v>
      </c>
      <c r="B153" s="2" t="s">
        <v>276</v>
      </c>
      <c r="C153" s="2" t="s">
        <v>276</v>
      </c>
      <c r="F153" s="2" t="s">
        <v>619</v>
      </c>
    </row>
    <row r="154" spans="1:6" x14ac:dyDescent="0.25">
      <c r="A154" s="2" t="s">
        <v>620</v>
      </c>
      <c r="B154" s="2" t="s">
        <v>276</v>
      </c>
      <c r="C154" s="2" t="s">
        <v>276</v>
      </c>
      <c r="F154" s="2" t="s">
        <v>621</v>
      </c>
    </row>
    <row r="155" spans="1:6" x14ac:dyDescent="0.25">
      <c r="A155" s="2" t="s">
        <v>622</v>
      </c>
      <c r="B155" s="2" t="s">
        <v>276</v>
      </c>
      <c r="C155" s="2" t="s">
        <v>276</v>
      </c>
      <c r="F155" s="2" t="s">
        <v>623</v>
      </c>
    </row>
    <row r="156" spans="1:6" x14ac:dyDescent="0.25">
      <c r="A156" s="2" t="s">
        <v>624</v>
      </c>
      <c r="B156" s="2" t="s">
        <v>276</v>
      </c>
      <c r="C156" s="2" t="s">
        <v>276</v>
      </c>
    </row>
    <row r="157" spans="1:6" x14ac:dyDescent="0.25">
      <c r="A157" s="2" t="s">
        <v>625</v>
      </c>
      <c r="B157" s="2" t="s">
        <v>276</v>
      </c>
      <c r="C157" s="2" t="s">
        <v>276</v>
      </c>
    </row>
    <row r="158" spans="1:6" x14ac:dyDescent="0.25">
      <c r="A158" s="2" t="s">
        <v>626</v>
      </c>
      <c r="B158" s="2" t="s">
        <v>276</v>
      </c>
      <c r="C158" s="2" t="s">
        <v>276</v>
      </c>
    </row>
    <row r="159" spans="1:6" x14ac:dyDescent="0.25">
      <c r="A159" s="2" t="s">
        <v>627</v>
      </c>
      <c r="B159" s="2" t="s">
        <v>276</v>
      </c>
      <c r="C159" s="2" t="s">
        <v>276</v>
      </c>
    </row>
    <row r="160" spans="1:6" x14ac:dyDescent="0.25">
      <c r="A160" s="2" t="s">
        <v>628</v>
      </c>
      <c r="B160" s="2" t="s">
        <v>276</v>
      </c>
      <c r="C160" s="2" t="s">
        <v>276</v>
      </c>
    </row>
    <row r="161" spans="1:3" x14ac:dyDescent="0.25">
      <c r="A161" s="2" t="s">
        <v>629</v>
      </c>
      <c r="B161" s="2" t="s">
        <v>276</v>
      </c>
      <c r="C161" s="2" t="s">
        <v>276</v>
      </c>
    </row>
    <row r="162" spans="1:3" x14ac:dyDescent="0.25">
      <c r="A162" s="2" t="s">
        <v>630</v>
      </c>
      <c r="B162" s="2" t="s">
        <v>276</v>
      </c>
      <c r="C162" s="2" t="s">
        <v>276</v>
      </c>
    </row>
    <row r="163" spans="1:3" x14ac:dyDescent="0.25">
      <c r="A163" s="2" t="s">
        <v>631</v>
      </c>
      <c r="B163" s="2" t="s">
        <v>276</v>
      </c>
      <c r="C163" s="2" t="s">
        <v>276</v>
      </c>
    </row>
    <row r="164" spans="1:3" x14ac:dyDescent="0.25">
      <c r="A164" s="2" t="s">
        <v>632</v>
      </c>
      <c r="B164" s="2" t="s">
        <v>276</v>
      </c>
      <c r="C164" s="2" t="s">
        <v>276</v>
      </c>
    </row>
    <row r="165" spans="1:3" x14ac:dyDescent="0.25">
      <c r="A165" s="2" t="s">
        <v>633</v>
      </c>
      <c r="B165" s="2" t="s">
        <v>276</v>
      </c>
      <c r="C165" s="2" t="s">
        <v>276</v>
      </c>
    </row>
    <row r="166" spans="1:3" x14ac:dyDescent="0.25">
      <c r="A166" s="2" t="s">
        <v>634</v>
      </c>
      <c r="B166" s="2" t="s">
        <v>276</v>
      </c>
      <c r="C166" s="2" t="s">
        <v>276</v>
      </c>
    </row>
    <row r="167" spans="1:3" x14ac:dyDescent="0.25">
      <c r="A167" s="2" t="s">
        <v>635</v>
      </c>
      <c r="B167" s="2" t="s">
        <v>276</v>
      </c>
      <c r="C167" s="2" t="s">
        <v>276</v>
      </c>
    </row>
    <row r="168" spans="1:3" x14ac:dyDescent="0.25">
      <c r="A168" s="2" t="s">
        <v>636</v>
      </c>
      <c r="B168" s="2" t="s">
        <v>276</v>
      </c>
      <c r="C168" s="2" t="s">
        <v>276</v>
      </c>
    </row>
    <row r="169" spans="1:3" x14ac:dyDescent="0.25">
      <c r="A169" s="2" t="s">
        <v>637</v>
      </c>
      <c r="B169" s="2" t="s">
        <v>276</v>
      </c>
      <c r="C169" s="2" t="s">
        <v>276</v>
      </c>
    </row>
    <row r="170" spans="1:3" x14ac:dyDescent="0.25">
      <c r="A170" s="2" t="s">
        <v>638</v>
      </c>
      <c r="B170" s="2" t="s">
        <v>276</v>
      </c>
      <c r="C170" s="2" t="s">
        <v>276</v>
      </c>
    </row>
    <row r="171" spans="1:3" x14ac:dyDescent="0.25">
      <c r="A171" s="2" t="s">
        <v>639</v>
      </c>
      <c r="B171" s="2" t="s">
        <v>276</v>
      </c>
      <c r="C171" s="2" t="s">
        <v>276</v>
      </c>
    </row>
    <row r="172" spans="1:3" x14ac:dyDescent="0.25">
      <c r="A172" s="2" t="s">
        <v>640</v>
      </c>
      <c r="B172" s="2" t="s">
        <v>276</v>
      </c>
      <c r="C172" s="2" t="s">
        <v>276</v>
      </c>
    </row>
    <row r="173" spans="1:3" x14ac:dyDescent="0.25">
      <c r="A173" s="2" t="s">
        <v>641</v>
      </c>
      <c r="B173" s="2" t="s">
        <v>276</v>
      </c>
      <c r="C173" s="2" t="s">
        <v>276</v>
      </c>
    </row>
    <row r="174" spans="1:3" x14ac:dyDescent="0.25">
      <c r="A174" s="2" t="s">
        <v>642</v>
      </c>
      <c r="B174" s="2" t="s">
        <v>276</v>
      </c>
      <c r="C174" s="2" t="s">
        <v>276</v>
      </c>
    </row>
    <row r="175" spans="1:3" x14ac:dyDescent="0.25">
      <c r="A175" s="2" t="s">
        <v>643</v>
      </c>
      <c r="B175" s="2" t="s">
        <v>276</v>
      </c>
      <c r="C175" s="2" t="s">
        <v>276</v>
      </c>
    </row>
    <row r="176" spans="1:3" x14ac:dyDescent="0.25">
      <c r="A176" s="2" t="s">
        <v>644</v>
      </c>
      <c r="B176" s="2" t="s">
        <v>276</v>
      </c>
      <c r="C176" s="2" t="s">
        <v>276</v>
      </c>
    </row>
    <row r="177" spans="1:3" x14ac:dyDescent="0.25">
      <c r="A177" s="2" t="s">
        <v>645</v>
      </c>
      <c r="B177" s="2" t="s">
        <v>276</v>
      </c>
      <c r="C177" s="2" t="s">
        <v>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AC Initial</vt:lpstr>
      <vt:lpstr>Dictionary</vt:lpstr>
      <vt:lpstr>AgenticDict</vt:lpstr>
      <vt:lpstr>AgenticTerm</vt:lpstr>
      <vt:lpstr>CommunalDict</vt:lpstr>
      <vt:lpstr>CommunalTerm</vt:lpstr>
      <vt:lpstr>NegativeDict</vt:lpstr>
      <vt:lpstr>NeutralDict</vt:lpstr>
      <vt:lpstr>NeutralTerm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 Yap</dc:creator>
  <cp:lastModifiedBy>Alfred Yap</cp:lastModifiedBy>
  <dcterms:created xsi:type="dcterms:W3CDTF">2026-09-16T10:37:06Z</dcterms:created>
  <dcterms:modified xsi:type="dcterms:W3CDTF">2026-09-26T17:14:36Z</dcterms:modified>
</cp:coreProperties>
</file>