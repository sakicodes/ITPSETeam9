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esktop\Assignment\SIT University\ICT2114 ITP\"/>
    </mc:Choice>
  </mc:AlternateContent>
  <xr:revisionPtr revIDLastSave="0" documentId="13_ncr:1_{667BE566-68D7-4A33-83A7-4E83300B9BE4}" xr6:coauthVersionLast="47" xr6:coauthVersionMax="47" xr10:uidLastSave="{00000000-0000-0000-0000-000000000000}"/>
  <bookViews>
    <workbookView xWindow="-120" yWindow="-120" windowWidth="29040" windowHeight="15840" xr2:uid="{C813FC57-D9F3-4E28-976D-6A1E03F22065}"/>
  </bookViews>
  <sheets>
    <sheet name="Final" sheetId="2" r:id="rId1"/>
    <sheet name="FinalBackup" sheetId="6" state="hidden" r:id="rId2"/>
    <sheet name="BaseUP" sheetId="5" r:id="rId3"/>
    <sheet name="ACRaw" sheetId="1" state="hidden" r:id="rId4"/>
    <sheet name="BaseRaw" sheetId="4" state="hidden" r:id="rId5"/>
    <sheet name="Dictionary" sheetId="3" r:id="rId6"/>
  </sheets>
  <definedNames>
    <definedName name="_xlnm._FilterDatabase" localSheetId="0" hidden="1">Final!$A$1:$M$181</definedName>
    <definedName name="_xlnm._FilterDatabase" localSheetId="1" hidden="1">FinalBackup!$A$1:$M$181</definedName>
    <definedName name="AgenticDict">Dictionary!$A$2:$A$177</definedName>
    <definedName name="AgenticTerm">Dictionary!$F$2:$F$155</definedName>
    <definedName name="CommunalDict">Dictionary!$B$2:$B$103</definedName>
    <definedName name="CommunalTerm">Dictionary!$G$2:$G$119</definedName>
    <definedName name="NegativeDict">Dictionary!$D$2:$D$22</definedName>
    <definedName name="NeutralDict">Dictionary!$C$2:$C$42</definedName>
    <definedName name="NeutralTerm">Dictionary!$E$2:$E$55</definedName>
  </definedNames>
  <calcPr calcId="181029"/>
</workbook>
</file>

<file path=xl/calcChain.xml><?xml version="1.0" encoding="utf-8"?>
<calcChain xmlns="http://schemas.openxmlformats.org/spreadsheetml/2006/main">
  <c r="I181" i="6" l="1"/>
  <c r="J181" i="6" s="1"/>
  <c r="M181" i="6" s="1"/>
  <c r="H181" i="6"/>
  <c r="G181" i="6" a="1"/>
  <c r="G181" i="6" s="1"/>
  <c r="F181" i="6" a="1"/>
  <c r="F181" i="6" s="1"/>
  <c r="K181" i="6" s="1"/>
  <c r="E181" i="6" a="1"/>
  <c r="E181" i="6" s="1"/>
  <c r="I180" i="6"/>
  <c r="J180" i="6" s="1"/>
  <c r="H180" i="6"/>
  <c r="G180" i="6" a="1"/>
  <c r="G180" i="6" s="1"/>
  <c r="F180" i="6" a="1"/>
  <c r="F180" i="6" s="1"/>
  <c r="E180" i="6" a="1"/>
  <c r="E180" i="6" s="1"/>
  <c r="K180" i="6" s="1"/>
  <c r="I179" i="6"/>
  <c r="H179" i="6"/>
  <c r="G179" i="6" a="1"/>
  <c r="G179" i="6" s="1"/>
  <c r="F179" i="6" a="1"/>
  <c r="F179" i="6" s="1"/>
  <c r="K179" i="6" s="1"/>
  <c r="E179" i="6" a="1"/>
  <c r="E179" i="6" s="1"/>
  <c r="I178" i="6"/>
  <c r="H178" i="6"/>
  <c r="G178" i="6" a="1"/>
  <c r="G178" i="6" s="1"/>
  <c r="F178" i="6" a="1"/>
  <c r="F178" i="6" s="1"/>
  <c r="E178" i="6" a="1"/>
  <c r="E178" i="6" s="1"/>
  <c r="K178" i="6" s="1"/>
  <c r="I177" i="6"/>
  <c r="H177" i="6"/>
  <c r="G177" i="6" a="1"/>
  <c r="G177" i="6" s="1"/>
  <c r="F177" i="6" a="1"/>
  <c r="F177" i="6" s="1"/>
  <c r="K177" i="6" s="1"/>
  <c r="E177" i="6" a="1"/>
  <c r="E177" i="6" s="1"/>
  <c r="I176" i="6"/>
  <c r="H176" i="6"/>
  <c r="G176" i="6" a="1"/>
  <c r="G176" i="6" s="1"/>
  <c r="F176" i="6" a="1"/>
  <c r="F176" i="6" s="1"/>
  <c r="E176" i="6" a="1"/>
  <c r="E176" i="6" s="1"/>
  <c r="K176" i="6" s="1"/>
  <c r="J175" i="6"/>
  <c r="I175" i="6"/>
  <c r="H175" i="6"/>
  <c r="G175" i="6" a="1"/>
  <c r="G175" i="6" s="1"/>
  <c r="F175" i="6" a="1"/>
  <c r="F175" i="6" s="1"/>
  <c r="K175" i="6" s="1"/>
  <c r="E175" i="6" a="1"/>
  <c r="E175" i="6" s="1"/>
  <c r="I174" i="6"/>
  <c r="J174" i="6" s="1"/>
  <c r="M174" i="6" s="1"/>
  <c r="H174" i="6"/>
  <c r="G174" i="6"/>
  <c r="G174" i="6" a="1"/>
  <c r="F174" i="6" a="1"/>
  <c r="F174" i="6" s="1"/>
  <c r="E174" i="6" a="1"/>
  <c r="E174" i="6" s="1"/>
  <c r="K174" i="6" s="1"/>
  <c r="I173" i="6"/>
  <c r="H173" i="6"/>
  <c r="G173" i="6" a="1"/>
  <c r="G173" i="6" s="1"/>
  <c r="F173" i="6" a="1"/>
  <c r="F173" i="6" s="1"/>
  <c r="K173" i="6" s="1"/>
  <c r="E173" i="6" a="1"/>
  <c r="E173" i="6" s="1"/>
  <c r="I172" i="6"/>
  <c r="H172" i="6"/>
  <c r="G172" i="6"/>
  <c r="G172" i="6" a="1"/>
  <c r="F172" i="6"/>
  <c r="F172" i="6" a="1"/>
  <c r="E172" i="6" a="1"/>
  <c r="E172" i="6" s="1"/>
  <c r="K172" i="6" s="1"/>
  <c r="I171" i="6"/>
  <c r="H171" i="6"/>
  <c r="G171" i="6" a="1"/>
  <c r="G171" i="6" s="1"/>
  <c r="F171" i="6" a="1"/>
  <c r="F171" i="6" s="1"/>
  <c r="K171" i="6" s="1"/>
  <c r="E171" i="6" a="1"/>
  <c r="E171" i="6" s="1"/>
  <c r="I170" i="6"/>
  <c r="H170" i="6"/>
  <c r="G170" i="6"/>
  <c r="G170" i="6" a="1"/>
  <c r="F170" i="6"/>
  <c r="F170" i="6" a="1"/>
  <c r="E170" i="6" a="1"/>
  <c r="E170" i="6" s="1"/>
  <c r="K170" i="6" s="1"/>
  <c r="J169" i="6"/>
  <c r="M169" i="6" s="1"/>
  <c r="I169" i="6"/>
  <c r="H169" i="6"/>
  <c r="G169" i="6" a="1"/>
  <c r="G169" i="6" s="1"/>
  <c r="F169" i="6" a="1"/>
  <c r="F169" i="6" s="1"/>
  <c r="K169" i="6" s="1"/>
  <c r="E169" i="6" a="1"/>
  <c r="E169" i="6" s="1"/>
  <c r="J168" i="6"/>
  <c r="I168" i="6"/>
  <c r="H168" i="6"/>
  <c r="G168" i="6" a="1"/>
  <c r="G168" i="6" s="1"/>
  <c r="F168" i="6" a="1"/>
  <c r="F168" i="6" s="1"/>
  <c r="E168" i="6" a="1"/>
  <c r="E168" i="6" s="1"/>
  <c r="K168" i="6" s="1"/>
  <c r="I167" i="6"/>
  <c r="J167" i="6" s="1"/>
  <c r="M167" i="6" s="1"/>
  <c r="H167" i="6"/>
  <c r="G167" i="6" a="1"/>
  <c r="G167" i="6" s="1"/>
  <c r="F167" i="6" a="1"/>
  <c r="F167" i="6" s="1"/>
  <c r="K167" i="6" s="1"/>
  <c r="E167" i="6" a="1"/>
  <c r="E167" i="6" s="1"/>
  <c r="J166" i="6"/>
  <c r="I166" i="6"/>
  <c r="H166" i="6"/>
  <c r="G166" i="6" a="1"/>
  <c r="G166" i="6" s="1"/>
  <c r="F166" i="6" a="1"/>
  <c r="F166" i="6" s="1"/>
  <c r="E166" i="6" a="1"/>
  <c r="E166" i="6" s="1"/>
  <c r="K166" i="6" s="1"/>
  <c r="M166" i="6" s="1"/>
  <c r="J165" i="6"/>
  <c r="I165" i="6"/>
  <c r="H165" i="6"/>
  <c r="G165" i="6" a="1"/>
  <c r="G165" i="6" s="1"/>
  <c r="F165" i="6" a="1"/>
  <c r="F165" i="6" s="1"/>
  <c r="K165" i="6" s="1"/>
  <c r="M165" i="6" s="1"/>
  <c r="E165" i="6" a="1"/>
  <c r="E165" i="6" s="1"/>
  <c r="I164" i="6"/>
  <c r="J164" i="6" s="1"/>
  <c r="H164" i="6"/>
  <c r="G164" i="6" a="1"/>
  <c r="G164" i="6" s="1"/>
  <c r="F164" i="6" a="1"/>
  <c r="F164" i="6" s="1"/>
  <c r="E164" i="6" a="1"/>
  <c r="E164" i="6" s="1"/>
  <c r="K164" i="6" s="1"/>
  <c r="J163" i="6"/>
  <c r="I163" i="6"/>
  <c r="H163" i="6"/>
  <c r="G163" i="6" a="1"/>
  <c r="G163" i="6" s="1"/>
  <c r="F163" i="6" a="1"/>
  <c r="F163" i="6" s="1"/>
  <c r="K163" i="6" s="1"/>
  <c r="E163" i="6" a="1"/>
  <c r="E163" i="6" s="1"/>
  <c r="I162" i="6"/>
  <c r="J162" i="6" s="1"/>
  <c r="H162" i="6"/>
  <c r="G162" i="6"/>
  <c r="G162" i="6" a="1"/>
  <c r="F162" i="6" a="1"/>
  <c r="F162" i="6" s="1"/>
  <c r="E162" i="6" a="1"/>
  <c r="E162" i="6" s="1"/>
  <c r="K162" i="6" s="1"/>
  <c r="J161" i="6"/>
  <c r="M161" i="6" s="1"/>
  <c r="I161" i="6"/>
  <c r="H161" i="6"/>
  <c r="G161" i="6" a="1"/>
  <c r="G161" i="6" s="1"/>
  <c r="F161" i="6" a="1"/>
  <c r="F161" i="6" s="1"/>
  <c r="K161" i="6" s="1"/>
  <c r="E161" i="6" a="1"/>
  <c r="E161" i="6" s="1"/>
  <c r="I160" i="6"/>
  <c r="J160" i="6" s="1"/>
  <c r="H160" i="6"/>
  <c r="G160" i="6"/>
  <c r="G160" i="6" a="1"/>
  <c r="F160" i="6"/>
  <c r="F160" i="6" a="1"/>
  <c r="E160" i="6" a="1"/>
  <c r="E160" i="6" s="1"/>
  <c r="K160" i="6" s="1"/>
  <c r="I159" i="6"/>
  <c r="H159" i="6"/>
  <c r="G159" i="6" a="1"/>
  <c r="G159" i="6" s="1"/>
  <c r="F159" i="6" a="1"/>
  <c r="F159" i="6" s="1"/>
  <c r="K159" i="6" s="1"/>
  <c r="E159" i="6" a="1"/>
  <c r="E159" i="6" s="1"/>
  <c r="I158" i="6"/>
  <c r="H158" i="6"/>
  <c r="G158" i="6"/>
  <c r="G158" i="6" a="1"/>
  <c r="F158" i="6"/>
  <c r="F158" i="6" a="1"/>
  <c r="E158" i="6" a="1"/>
  <c r="E158" i="6" s="1"/>
  <c r="K158" i="6" s="1"/>
  <c r="I157" i="6"/>
  <c r="H157" i="6"/>
  <c r="G157" i="6" a="1"/>
  <c r="G157" i="6" s="1"/>
  <c r="F157" i="6" a="1"/>
  <c r="F157" i="6" s="1"/>
  <c r="K157" i="6" s="1"/>
  <c r="E157" i="6" a="1"/>
  <c r="E157" i="6" s="1"/>
  <c r="I156" i="6"/>
  <c r="H156" i="6"/>
  <c r="G156" i="6" a="1"/>
  <c r="G156" i="6" s="1"/>
  <c r="F156" i="6" a="1"/>
  <c r="F156" i="6" s="1"/>
  <c r="E156" i="6" a="1"/>
  <c r="E156" i="6" s="1"/>
  <c r="K156" i="6" s="1"/>
  <c r="I155" i="6"/>
  <c r="J155" i="6" s="1"/>
  <c r="M155" i="6" s="1"/>
  <c r="H155" i="6"/>
  <c r="G155" i="6" a="1"/>
  <c r="G155" i="6" s="1"/>
  <c r="F155" i="6" a="1"/>
  <c r="F155" i="6" s="1"/>
  <c r="K155" i="6" s="1"/>
  <c r="E155" i="6" a="1"/>
  <c r="E155" i="6" s="1"/>
  <c r="J154" i="6"/>
  <c r="I154" i="6"/>
  <c r="H154" i="6"/>
  <c r="G154" i="6"/>
  <c r="G154" i="6" a="1"/>
  <c r="F154" i="6" a="1"/>
  <c r="F154" i="6" s="1"/>
  <c r="E154" i="6" a="1"/>
  <c r="E154" i="6" s="1"/>
  <c r="K154" i="6" s="1"/>
  <c r="J153" i="6"/>
  <c r="I153" i="6"/>
  <c r="H153" i="6"/>
  <c r="G153" i="6" a="1"/>
  <c r="G153" i="6" s="1"/>
  <c r="F153" i="6" a="1"/>
  <c r="F153" i="6" s="1"/>
  <c r="K153" i="6" s="1"/>
  <c r="E153" i="6" a="1"/>
  <c r="E153" i="6" s="1"/>
  <c r="I152" i="6"/>
  <c r="J152" i="6" s="1"/>
  <c r="H152" i="6"/>
  <c r="G152" i="6" a="1"/>
  <c r="G152" i="6" s="1"/>
  <c r="F152" i="6" a="1"/>
  <c r="F152" i="6" s="1"/>
  <c r="E152" i="6" a="1"/>
  <c r="E152" i="6" s="1"/>
  <c r="K152" i="6" s="1"/>
  <c r="J151" i="6"/>
  <c r="I151" i="6"/>
  <c r="H151" i="6"/>
  <c r="G151" i="6" a="1"/>
  <c r="G151" i="6" s="1"/>
  <c r="F151" i="6" a="1"/>
  <c r="F151" i="6" s="1"/>
  <c r="K151" i="6" s="1"/>
  <c r="E151" i="6" a="1"/>
  <c r="E151" i="6" s="1"/>
  <c r="J150" i="6"/>
  <c r="I150" i="6"/>
  <c r="H150" i="6"/>
  <c r="G150" i="6"/>
  <c r="G150" i="6" a="1"/>
  <c r="F150" i="6" a="1"/>
  <c r="F150" i="6" s="1"/>
  <c r="E150" i="6" a="1"/>
  <c r="E150" i="6" s="1"/>
  <c r="K150" i="6" s="1"/>
  <c r="J149" i="6"/>
  <c r="M149" i="6" s="1"/>
  <c r="I149" i="6"/>
  <c r="H149" i="6"/>
  <c r="G149" i="6" a="1"/>
  <c r="G149" i="6" s="1"/>
  <c r="F149" i="6" a="1"/>
  <c r="F149" i="6" s="1"/>
  <c r="K149" i="6" s="1"/>
  <c r="E149" i="6" a="1"/>
  <c r="E149" i="6" s="1"/>
  <c r="I148" i="6"/>
  <c r="J148" i="6" s="1"/>
  <c r="H148" i="6"/>
  <c r="G148" i="6"/>
  <c r="G148" i="6" a="1"/>
  <c r="F148" i="6"/>
  <c r="F148" i="6" a="1"/>
  <c r="E148" i="6" a="1"/>
  <c r="E148" i="6" s="1"/>
  <c r="K148" i="6" s="1"/>
  <c r="J147" i="6"/>
  <c r="I147" i="6"/>
  <c r="H147" i="6"/>
  <c r="G147" i="6" a="1"/>
  <c r="G147" i="6" s="1"/>
  <c r="F147" i="6" a="1"/>
  <c r="F147" i="6" s="1"/>
  <c r="K147" i="6" s="1"/>
  <c r="E147" i="6" a="1"/>
  <c r="E147" i="6" s="1"/>
  <c r="I146" i="6"/>
  <c r="J146" i="6" s="1"/>
  <c r="M146" i="6" s="1"/>
  <c r="H146" i="6"/>
  <c r="G146" i="6"/>
  <c r="G146" i="6" a="1"/>
  <c r="F146" i="6"/>
  <c r="F146" i="6" a="1"/>
  <c r="E146" i="6" a="1"/>
  <c r="E146" i="6" s="1"/>
  <c r="K146" i="6" s="1"/>
  <c r="J145" i="6"/>
  <c r="I145" i="6"/>
  <c r="H145" i="6"/>
  <c r="G145" i="6" a="1"/>
  <c r="G145" i="6" s="1"/>
  <c r="F145" i="6" a="1"/>
  <c r="F145" i="6" s="1"/>
  <c r="K145" i="6" s="1"/>
  <c r="E145" i="6" a="1"/>
  <c r="E145" i="6" s="1"/>
  <c r="I144" i="6"/>
  <c r="J144" i="6" s="1"/>
  <c r="H144" i="6"/>
  <c r="G144" i="6" a="1"/>
  <c r="G144" i="6" s="1"/>
  <c r="F144" i="6" a="1"/>
  <c r="F144" i="6" s="1"/>
  <c r="E144" i="6" a="1"/>
  <c r="E144" i="6" s="1"/>
  <c r="K144" i="6" s="1"/>
  <c r="I143" i="6"/>
  <c r="H143" i="6"/>
  <c r="G143" i="6" a="1"/>
  <c r="G143" i="6" s="1"/>
  <c r="F143" i="6" a="1"/>
  <c r="F143" i="6" s="1"/>
  <c r="K143" i="6" s="1"/>
  <c r="E143" i="6" a="1"/>
  <c r="E143" i="6" s="1"/>
  <c r="I142" i="6"/>
  <c r="H142" i="6"/>
  <c r="G142" i="6"/>
  <c r="G142" i="6" a="1"/>
  <c r="F142" i="6" a="1"/>
  <c r="F142" i="6" s="1"/>
  <c r="E142" i="6" a="1"/>
  <c r="E142" i="6" s="1"/>
  <c r="K142" i="6" s="1"/>
  <c r="J141" i="6"/>
  <c r="I141" i="6"/>
  <c r="H141" i="6"/>
  <c r="G141" i="6" a="1"/>
  <c r="G141" i="6" s="1"/>
  <c r="F141" i="6" a="1"/>
  <c r="F141" i="6" s="1"/>
  <c r="K141" i="6" s="1"/>
  <c r="E141" i="6" a="1"/>
  <c r="E141" i="6" s="1"/>
  <c r="I140" i="6"/>
  <c r="J140" i="6" s="1"/>
  <c r="H140" i="6"/>
  <c r="G140" i="6" a="1"/>
  <c r="G140" i="6" s="1"/>
  <c r="F140" i="6"/>
  <c r="F140" i="6" a="1"/>
  <c r="E140" i="6" a="1"/>
  <c r="E140" i="6" s="1"/>
  <c r="K140" i="6" s="1"/>
  <c r="I139" i="6"/>
  <c r="H139" i="6"/>
  <c r="G139" i="6"/>
  <c r="G139" i="6" a="1"/>
  <c r="F139" i="6" a="1"/>
  <c r="F139" i="6" s="1"/>
  <c r="K139" i="6" s="1"/>
  <c r="E139" i="6" a="1"/>
  <c r="E139" i="6" s="1"/>
  <c r="I138" i="6"/>
  <c r="H138" i="6"/>
  <c r="G138" i="6"/>
  <c r="G138" i="6" a="1"/>
  <c r="F138" i="6" a="1"/>
  <c r="F138" i="6" s="1"/>
  <c r="E138" i="6" a="1"/>
  <c r="E138" i="6" s="1"/>
  <c r="K138" i="6" s="1"/>
  <c r="I137" i="6"/>
  <c r="H137" i="6"/>
  <c r="G137" i="6" a="1"/>
  <c r="G137" i="6" s="1"/>
  <c r="F137" i="6" a="1"/>
  <c r="F137" i="6" s="1"/>
  <c r="K137" i="6" s="1"/>
  <c r="E137" i="6" a="1"/>
  <c r="E137" i="6" s="1"/>
  <c r="I136" i="6"/>
  <c r="H136" i="6"/>
  <c r="G136" i="6"/>
  <c r="G136" i="6" a="1"/>
  <c r="F136" i="6" a="1"/>
  <c r="F136" i="6" s="1"/>
  <c r="E136" i="6" a="1"/>
  <c r="E136" i="6" s="1"/>
  <c r="K136" i="6" s="1"/>
  <c r="J135" i="6"/>
  <c r="I135" i="6"/>
  <c r="H135" i="6"/>
  <c r="G135" i="6"/>
  <c r="G135" i="6" a="1"/>
  <c r="F135" i="6" a="1"/>
  <c r="F135" i="6" s="1"/>
  <c r="K135" i="6" s="1"/>
  <c r="E135" i="6" a="1"/>
  <c r="E135" i="6" s="1"/>
  <c r="I134" i="6"/>
  <c r="J134" i="6" s="1"/>
  <c r="M134" i="6" s="1"/>
  <c r="H134" i="6"/>
  <c r="G134" i="6"/>
  <c r="G134" i="6" a="1"/>
  <c r="F134" i="6"/>
  <c r="F134" i="6" a="1"/>
  <c r="E134" i="6" a="1"/>
  <c r="E134" i="6" s="1"/>
  <c r="K134" i="6" s="1"/>
  <c r="J133" i="6"/>
  <c r="I133" i="6"/>
  <c r="H133" i="6"/>
  <c r="G133" i="6" a="1"/>
  <c r="G133" i="6" s="1"/>
  <c r="F133" i="6" a="1"/>
  <c r="F133" i="6" s="1"/>
  <c r="K133" i="6" s="1"/>
  <c r="E133" i="6" a="1"/>
  <c r="E133" i="6" s="1"/>
  <c r="I132" i="6"/>
  <c r="J132" i="6" s="1"/>
  <c r="M132" i="6" s="1"/>
  <c r="H132" i="6"/>
  <c r="G132" i="6" a="1"/>
  <c r="G132" i="6" s="1"/>
  <c r="F132" i="6"/>
  <c r="F132" i="6" a="1"/>
  <c r="E132" i="6" a="1"/>
  <c r="E132" i="6" s="1"/>
  <c r="K132" i="6" s="1"/>
  <c r="I131" i="6"/>
  <c r="H131" i="6"/>
  <c r="G131" i="6" a="1"/>
  <c r="G131" i="6" s="1"/>
  <c r="F131" i="6" a="1"/>
  <c r="F131" i="6" s="1"/>
  <c r="K131" i="6" s="1"/>
  <c r="E131" i="6" a="1"/>
  <c r="E131" i="6" s="1"/>
  <c r="I130" i="6"/>
  <c r="H130" i="6"/>
  <c r="G130" i="6"/>
  <c r="G130" i="6" a="1"/>
  <c r="F130" i="6" a="1"/>
  <c r="F130" i="6" s="1"/>
  <c r="E130" i="6"/>
  <c r="K130" i="6" s="1"/>
  <c r="E130" i="6" a="1"/>
  <c r="J129" i="6"/>
  <c r="I129" i="6"/>
  <c r="H129" i="6"/>
  <c r="G129" i="6" a="1"/>
  <c r="G129" i="6" s="1"/>
  <c r="F129" i="6" a="1"/>
  <c r="F129" i="6" s="1"/>
  <c r="K129" i="6" s="1"/>
  <c r="E129" i="6" a="1"/>
  <c r="E129" i="6" s="1"/>
  <c r="J128" i="6"/>
  <c r="I128" i="6"/>
  <c r="H128" i="6"/>
  <c r="G128" i="6" a="1"/>
  <c r="G128" i="6" s="1"/>
  <c r="F128" i="6"/>
  <c r="F128" i="6" a="1"/>
  <c r="E128" i="6" a="1"/>
  <c r="E128" i="6" s="1"/>
  <c r="K128" i="6" s="1"/>
  <c r="I127" i="6"/>
  <c r="H127" i="6"/>
  <c r="G127" i="6"/>
  <c r="G127" i="6" a="1"/>
  <c r="F127" i="6" a="1"/>
  <c r="F127" i="6" s="1"/>
  <c r="K127" i="6" s="1"/>
  <c r="E127" i="6" a="1"/>
  <c r="E127" i="6" s="1"/>
  <c r="K126" i="6"/>
  <c r="I126" i="6"/>
  <c r="H126" i="6"/>
  <c r="G126" i="6"/>
  <c r="G126" i="6" a="1"/>
  <c r="F126" i="6" a="1"/>
  <c r="F126" i="6" s="1"/>
  <c r="E126" i="6"/>
  <c r="E126" i="6" a="1"/>
  <c r="I125" i="6"/>
  <c r="H125" i="6"/>
  <c r="G125" i="6" a="1"/>
  <c r="G125" i="6" s="1"/>
  <c r="F125" i="6" a="1"/>
  <c r="F125" i="6" s="1"/>
  <c r="K125" i="6" s="1"/>
  <c r="E125" i="6" a="1"/>
  <c r="E125" i="6" s="1"/>
  <c r="I124" i="6"/>
  <c r="H124" i="6"/>
  <c r="G124" i="6"/>
  <c r="G124" i="6" a="1"/>
  <c r="F124" i="6" a="1"/>
  <c r="F124" i="6" s="1"/>
  <c r="E124" i="6" a="1"/>
  <c r="E124" i="6" s="1"/>
  <c r="K124" i="6" s="1"/>
  <c r="I123" i="6"/>
  <c r="H123" i="6"/>
  <c r="G123" i="6"/>
  <c r="G123" i="6" a="1"/>
  <c r="F123" i="6" a="1"/>
  <c r="F123" i="6" s="1"/>
  <c r="K123" i="6" s="1"/>
  <c r="E123" i="6" a="1"/>
  <c r="E123" i="6" s="1"/>
  <c r="I122" i="6"/>
  <c r="H122" i="6"/>
  <c r="G122" i="6"/>
  <c r="G122" i="6" a="1"/>
  <c r="F122" i="6"/>
  <c r="F122" i="6" a="1"/>
  <c r="E122" i="6" a="1"/>
  <c r="E122" i="6" s="1"/>
  <c r="K122" i="6" s="1"/>
  <c r="J121" i="6"/>
  <c r="I121" i="6"/>
  <c r="H121" i="6"/>
  <c r="G121" i="6" a="1"/>
  <c r="G121" i="6" s="1"/>
  <c r="F121" i="6" a="1"/>
  <c r="F121" i="6" s="1"/>
  <c r="K121" i="6" s="1"/>
  <c r="E121" i="6" a="1"/>
  <c r="E121" i="6" s="1"/>
  <c r="I120" i="6"/>
  <c r="J120" i="6" s="1"/>
  <c r="M120" i="6" s="1"/>
  <c r="H120" i="6"/>
  <c r="G120" i="6"/>
  <c r="G120" i="6" a="1"/>
  <c r="F120" i="6"/>
  <c r="F120" i="6" a="1"/>
  <c r="E120" i="6" a="1"/>
  <c r="E120" i="6" s="1"/>
  <c r="K120" i="6" s="1"/>
  <c r="I119" i="6"/>
  <c r="J119" i="6" s="1"/>
  <c r="H119" i="6"/>
  <c r="G119" i="6" a="1"/>
  <c r="G119" i="6" s="1"/>
  <c r="F119" i="6" a="1"/>
  <c r="F119" i="6" s="1"/>
  <c r="K119" i="6" s="1"/>
  <c r="E119" i="6" a="1"/>
  <c r="E119" i="6" s="1"/>
  <c r="J118" i="6"/>
  <c r="I118" i="6"/>
  <c r="H118" i="6"/>
  <c r="G118" i="6"/>
  <c r="G118" i="6" a="1"/>
  <c r="F118" i="6" a="1"/>
  <c r="F118" i="6" s="1"/>
  <c r="E118" i="6"/>
  <c r="K118" i="6" s="1"/>
  <c r="E118" i="6" a="1"/>
  <c r="I117" i="6"/>
  <c r="H117" i="6"/>
  <c r="G117" i="6" a="1"/>
  <c r="G117" i="6" s="1"/>
  <c r="F117" i="6" a="1"/>
  <c r="F117" i="6" s="1"/>
  <c r="K117" i="6" s="1"/>
  <c r="E117" i="6" a="1"/>
  <c r="E117" i="6" s="1"/>
  <c r="I116" i="6"/>
  <c r="H116" i="6"/>
  <c r="G116" i="6" a="1"/>
  <c r="G116" i="6" s="1"/>
  <c r="F116" i="6"/>
  <c r="F116" i="6" a="1"/>
  <c r="E116" i="6" a="1"/>
  <c r="E116" i="6" s="1"/>
  <c r="K116" i="6" s="1"/>
  <c r="I115" i="6"/>
  <c r="H115" i="6"/>
  <c r="G115" i="6"/>
  <c r="G115" i="6" a="1"/>
  <c r="F115" i="6" a="1"/>
  <c r="F115" i="6" s="1"/>
  <c r="K115" i="6" s="1"/>
  <c r="E115" i="6" a="1"/>
  <c r="E115" i="6" s="1"/>
  <c r="K114" i="6"/>
  <c r="I114" i="6"/>
  <c r="H114" i="6"/>
  <c r="G114" i="6"/>
  <c r="G114" i="6" a="1"/>
  <c r="F114" i="6" a="1"/>
  <c r="F114" i="6" s="1"/>
  <c r="E114" i="6"/>
  <c r="E114" i="6" a="1"/>
  <c r="J113" i="6"/>
  <c r="I113" i="6"/>
  <c r="H113" i="6"/>
  <c r="G113" i="6" a="1"/>
  <c r="G113" i="6" s="1"/>
  <c r="F113" i="6" a="1"/>
  <c r="F113" i="6" s="1"/>
  <c r="K113" i="6" s="1"/>
  <c r="E113" i="6" a="1"/>
  <c r="E113" i="6" s="1"/>
  <c r="I112" i="6"/>
  <c r="J112" i="6" s="1"/>
  <c r="M112" i="6" s="1"/>
  <c r="H112" i="6"/>
  <c r="G112" i="6"/>
  <c r="G112" i="6" a="1"/>
  <c r="F112" i="6" a="1"/>
  <c r="F112" i="6" s="1"/>
  <c r="E112" i="6" a="1"/>
  <c r="E112" i="6" s="1"/>
  <c r="K112" i="6" s="1"/>
  <c r="I111" i="6"/>
  <c r="H111" i="6"/>
  <c r="G111" i="6"/>
  <c r="G111" i="6" a="1"/>
  <c r="F111" i="6" a="1"/>
  <c r="F111" i="6" s="1"/>
  <c r="K111" i="6" s="1"/>
  <c r="E111" i="6" a="1"/>
  <c r="E111" i="6" s="1"/>
  <c r="I110" i="6"/>
  <c r="H110" i="6"/>
  <c r="G110" i="6"/>
  <c r="G110" i="6" a="1"/>
  <c r="F110" i="6"/>
  <c r="F110" i="6" a="1"/>
  <c r="E110" i="6" a="1"/>
  <c r="E110" i="6" s="1"/>
  <c r="K110" i="6" s="1"/>
  <c r="I109" i="6"/>
  <c r="H109" i="6"/>
  <c r="G109" i="6" a="1"/>
  <c r="G109" i="6" s="1"/>
  <c r="F109" i="6" a="1"/>
  <c r="F109" i="6" s="1"/>
  <c r="K109" i="6" s="1"/>
  <c r="E109" i="6" a="1"/>
  <c r="E109" i="6" s="1"/>
  <c r="I108" i="6"/>
  <c r="H108" i="6"/>
  <c r="G108" i="6"/>
  <c r="G108" i="6" a="1"/>
  <c r="F108" i="6"/>
  <c r="F108" i="6" a="1"/>
  <c r="E108" i="6" a="1"/>
  <c r="E108" i="6" s="1"/>
  <c r="K108" i="6" s="1"/>
  <c r="I107" i="6"/>
  <c r="J107" i="6" s="1"/>
  <c r="M107" i="6" s="1"/>
  <c r="H107" i="6"/>
  <c r="G107" i="6" a="1"/>
  <c r="G107" i="6" s="1"/>
  <c r="F107" i="6" a="1"/>
  <c r="F107" i="6" s="1"/>
  <c r="K107" i="6" s="1"/>
  <c r="E107" i="6" a="1"/>
  <c r="E107" i="6" s="1"/>
  <c r="J106" i="6"/>
  <c r="I106" i="6"/>
  <c r="H106" i="6"/>
  <c r="G106" i="6"/>
  <c r="G106" i="6" a="1"/>
  <c r="F106" i="6" a="1"/>
  <c r="F106" i="6" s="1"/>
  <c r="E106" i="6"/>
  <c r="K106" i="6" s="1"/>
  <c r="E106" i="6" a="1"/>
  <c r="I105" i="6"/>
  <c r="H105" i="6"/>
  <c r="G105" i="6" a="1"/>
  <c r="G105" i="6" s="1"/>
  <c r="F105" i="6" a="1"/>
  <c r="F105" i="6" s="1"/>
  <c r="K105" i="6" s="1"/>
  <c r="E105" i="6" a="1"/>
  <c r="E105" i="6" s="1"/>
  <c r="I104" i="6"/>
  <c r="H104" i="6"/>
  <c r="G104" i="6" a="1"/>
  <c r="G104" i="6" s="1"/>
  <c r="F104" i="6"/>
  <c r="F104" i="6" a="1"/>
  <c r="E104" i="6" a="1"/>
  <c r="E104" i="6" s="1"/>
  <c r="K104" i="6" s="1"/>
  <c r="I103" i="6"/>
  <c r="H103" i="6"/>
  <c r="G103" i="6"/>
  <c r="G103" i="6" a="1"/>
  <c r="F103" i="6" a="1"/>
  <c r="F103" i="6" s="1"/>
  <c r="K103" i="6" s="1"/>
  <c r="E103" i="6" a="1"/>
  <c r="E103" i="6" s="1"/>
  <c r="K102" i="6"/>
  <c r="I102" i="6"/>
  <c r="H102" i="6"/>
  <c r="G102" i="6"/>
  <c r="G102" i="6" a="1"/>
  <c r="F102" i="6" a="1"/>
  <c r="F102" i="6" s="1"/>
  <c r="E102" i="6"/>
  <c r="E102" i="6" a="1"/>
  <c r="I101" i="6"/>
  <c r="H101" i="6"/>
  <c r="G101" i="6" a="1"/>
  <c r="G101" i="6" s="1"/>
  <c r="F101" i="6" a="1"/>
  <c r="F101" i="6" s="1"/>
  <c r="K101" i="6" s="1"/>
  <c r="E101" i="6" a="1"/>
  <c r="E101" i="6" s="1"/>
  <c r="I100" i="6"/>
  <c r="H100" i="6"/>
  <c r="G100" i="6"/>
  <c r="G100" i="6" a="1"/>
  <c r="F100" i="6" a="1"/>
  <c r="F100" i="6" s="1"/>
  <c r="E100" i="6" a="1"/>
  <c r="E100" i="6" s="1"/>
  <c r="K100" i="6" s="1"/>
  <c r="I99" i="6"/>
  <c r="H99" i="6"/>
  <c r="G99" i="6"/>
  <c r="G99" i="6" a="1"/>
  <c r="F99" i="6" a="1"/>
  <c r="F99" i="6" s="1"/>
  <c r="K99" i="6" s="1"/>
  <c r="E99" i="6" a="1"/>
  <c r="E99" i="6" s="1"/>
  <c r="I98" i="6"/>
  <c r="H98" i="6"/>
  <c r="G98" i="6"/>
  <c r="G98" i="6" a="1"/>
  <c r="F98" i="6"/>
  <c r="F98" i="6" a="1"/>
  <c r="E98" i="6" a="1"/>
  <c r="E98" i="6" s="1"/>
  <c r="K98" i="6" s="1"/>
  <c r="I97" i="6"/>
  <c r="H97" i="6"/>
  <c r="G97" i="6" a="1"/>
  <c r="G97" i="6" s="1"/>
  <c r="F97" i="6" a="1"/>
  <c r="F97" i="6" s="1"/>
  <c r="K97" i="6" s="1"/>
  <c r="E97" i="6" a="1"/>
  <c r="E97" i="6" s="1"/>
  <c r="I96" i="6"/>
  <c r="H96" i="6"/>
  <c r="G96" i="6"/>
  <c r="G96" i="6" a="1"/>
  <c r="F96" i="6"/>
  <c r="F96" i="6" a="1"/>
  <c r="E96" i="6"/>
  <c r="K96" i="6" s="1"/>
  <c r="E96" i="6" a="1"/>
  <c r="I95" i="6"/>
  <c r="H95" i="6"/>
  <c r="G95" i="6" a="1"/>
  <c r="G95" i="6" s="1"/>
  <c r="F95" i="6" a="1"/>
  <c r="F95" i="6" s="1"/>
  <c r="K95" i="6" s="1"/>
  <c r="E95" i="6" a="1"/>
  <c r="E95" i="6" s="1"/>
  <c r="I94" i="6"/>
  <c r="H94" i="6"/>
  <c r="G94" i="6"/>
  <c r="G94" i="6" a="1"/>
  <c r="F94" i="6" a="1"/>
  <c r="F94" i="6" s="1"/>
  <c r="E94" i="6"/>
  <c r="K94" i="6" s="1"/>
  <c r="E94" i="6" a="1"/>
  <c r="J93" i="6"/>
  <c r="I93" i="6"/>
  <c r="H93" i="6"/>
  <c r="G93" i="6" a="1"/>
  <c r="G93" i="6" s="1"/>
  <c r="F93" i="6" a="1"/>
  <c r="F93" i="6" s="1"/>
  <c r="K93" i="6" s="1"/>
  <c r="E93" i="6" a="1"/>
  <c r="E93" i="6" s="1"/>
  <c r="I92" i="6"/>
  <c r="J92" i="6" s="1"/>
  <c r="H92" i="6"/>
  <c r="G92" i="6" a="1"/>
  <c r="G92" i="6" s="1"/>
  <c r="F92" i="6"/>
  <c r="F92" i="6" a="1"/>
  <c r="E92" i="6" a="1"/>
  <c r="E92" i="6" s="1"/>
  <c r="K92" i="6" s="1"/>
  <c r="I91" i="6"/>
  <c r="H91" i="6"/>
  <c r="G91" i="6"/>
  <c r="G91" i="6" a="1"/>
  <c r="F91" i="6" a="1"/>
  <c r="F91" i="6" s="1"/>
  <c r="K91" i="6" s="1"/>
  <c r="E91" i="6" a="1"/>
  <c r="E91" i="6" s="1"/>
  <c r="K90" i="6"/>
  <c r="I90" i="6"/>
  <c r="H90" i="6"/>
  <c r="G90" i="6"/>
  <c r="G90" i="6" a="1"/>
  <c r="F90" i="6" a="1"/>
  <c r="F90" i="6" s="1"/>
  <c r="E90" i="6"/>
  <c r="E90" i="6" a="1"/>
  <c r="I89" i="6"/>
  <c r="H89" i="6"/>
  <c r="G89" i="6" a="1"/>
  <c r="G89" i="6" s="1"/>
  <c r="F89" i="6" a="1"/>
  <c r="F89" i="6" s="1"/>
  <c r="K89" i="6" s="1"/>
  <c r="E89" i="6" a="1"/>
  <c r="E89" i="6" s="1"/>
  <c r="I88" i="6"/>
  <c r="H88" i="6"/>
  <c r="G88" i="6"/>
  <c r="G88" i="6" a="1"/>
  <c r="F88" i="6" a="1"/>
  <c r="F88" i="6" s="1"/>
  <c r="E88" i="6" a="1"/>
  <c r="E88" i="6" s="1"/>
  <c r="K88" i="6" s="1"/>
  <c r="I87" i="6"/>
  <c r="H87" i="6"/>
  <c r="G87" i="6" a="1"/>
  <c r="G87" i="6" s="1"/>
  <c r="F87" i="6" a="1"/>
  <c r="F87" i="6" s="1"/>
  <c r="K87" i="6" s="1"/>
  <c r="E87" i="6" a="1"/>
  <c r="E87" i="6" s="1"/>
  <c r="I86" i="6"/>
  <c r="H86" i="6"/>
  <c r="G86" i="6"/>
  <c r="G86" i="6" a="1"/>
  <c r="F86" i="6"/>
  <c r="F86" i="6" a="1"/>
  <c r="E86" i="6" a="1"/>
  <c r="E86" i="6" s="1"/>
  <c r="K86" i="6" s="1"/>
  <c r="I85" i="6"/>
  <c r="H85" i="6"/>
  <c r="G85" i="6" a="1"/>
  <c r="G85" i="6" s="1"/>
  <c r="F85" i="6" a="1"/>
  <c r="F85" i="6" s="1"/>
  <c r="K85" i="6" s="1"/>
  <c r="E85" i="6" a="1"/>
  <c r="E85" i="6" s="1"/>
  <c r="I84" i="6"/>
  <c r="H84" i="6"/>
  <c r="G84" i="6"/>
  <c r="G84" i="6" a="1"/>
  <c r="F84" i="6"/>
  <c r="F84" i="6" a="1"/>
  <c r="E84" i="6"/>
  <c r="K84" i="6" s="1"/>
  <c r="E84" i="6" a="1"/>
  <c r="I83" i="6"/>
  <c r="J83" i="6" s="1"/>
  <c r="H83" i="6"/>
  <c r="G83" i="6" a="1"/>
  <c r="G83" i="6" s="1"/>
  <c r="F83" i="6" a="1"/>
  <c r="F83" i="6" s="1"/>
  <c r="K83" i="6" s="1"/>
  <c r="E83" i="6" a="1"/>
  <c r="E83" i="6" s="1"/>
  <c r="J82" i="6"/>
  <c r="I82" i="6"/>
  <c r="H82" i="6"/>
  <c r="G82" i="6"/>
  <c r="G82" i="6" a="1"/>
  <c r="F82" i="6" a="1"/>
  <c r="F82" i="6" s="1"/>
  <c r="E82" i="6"/>
  <c r="K82" i="6" s="1"/>
  <c r="E82" i="6" a="1"/>
  <c r="I81" i="6"/>
  <c r="H81" i="6"/>
  <c r="G81" i="6" a="1"/>
  <c r="G81" i="6" s="1"/>
  <c r="F81" i="6" a="1"/>
  <c r="F81" i="6" s="1"/>
  <c r="K81" i="6" s="1"/>
  <c r="E81" i="6" a="1"/>
  <c r="E81" i="6" s="1"/>
  <c r="I80" i="6"/>
  <c r="H80" i="6"/>
  <c r="G80" i="6" a="1"/>
  <c r="G80" i="6" s="1"/>
  <c r="F80" i="6"/>
  <c r="F80" i="6" a="1"/>
  <c r="E80" i="6" a="1"/>
  <c r="E80" i="6" s="1"/>
  <c r="K80" i="6" s="1"/>
  <c r="I79" i="6"/>
  <c r="H79" i="6"/>
  <c r="G79" i="6"/>
  <c r="G79" i="6" a="1"/>
  <c r="F79" i="6" a="1"/>
  <c r="F79" i="6" s="1"/>
  <c r="K79" i="6" s="1"/>
  <c r="E79" i="6" a="1"/>
  <c r="E79" i="6" s="1"/>
  <c r="K78" i="6"/>
  <c r="I78" i="6"/>
  <c r="H78" i="6"/>
  <c r="G78" i="6"/>
  <c r="G78" i="6" a="1"/>
  <c r="F78" i="6" a="1"/>
  <c r="F78" i="6" s="1"/>
  <c r="E78" i="6"/>
  <c r="E78" i="6" a="1"/>
  <c r="I77" i="6"/>
  <c r="H77" i="6"/>
  <c r="G77" i="6" a="1"/>
  <c r="G77" i="6" s="1"/>
  <c r="F77" i="6" a="1"/>
  <c r="F77" i="6" s="1"/>
  <c r="K77" i="6" s="1"/>
  <c r="E77" i="6" a="1"/>
  <c r="E77" i="6" s="1"/>
  <c r="I76" i="6"/>
  <c r="H76" i="6"/>
  <c r="G76" i="6"/>
  <c r="G76" i="6" a="1"/>
  <c r="F76" i="6" a="1"/>
  <c r="F76" i="6" s="1"/>
  <c r="E76" i="6" a="1"/>
  <c r="E76" i="6" s="1"/>
  <c r="K76" i="6" s="1"/>
  <c r="I75" i="6"/>
  <c r="H75" i="6"/>
  <c r="G75" i="6" a="1"/>
  <c r="G75" i="6" s="1"/>
  <c r="F75" i="6" a="1"/>
  <c r="F75" i="6" s="1"/>
  <c r="K75" i="6" s="1"/>
  <c r="E75" i="6" a="1"/>
  <c r="E75" i="6" s="1"/>
  <c r="I74" i="6"/>
  <c r="H74" i="6"/>
  <c r="G74" i="6"/>
  <c r="G74" i="6" a="1"/>
  <c r="F74" i="6"/>
  <c r="F74" i="6" a="1"/>
  <c r="E74" i="6" a="1"/>
  <c r="E74" i="6" s="1"/>
  <c r="K74" i="6" s="1"/>
  <c r="J73" i="6"/>
  <c r="M73" i="6" s="1"/>
  <c r="I73" i="6"/>
  <c r="H73" i="6"/>
  <c r="G73" i="6" a="1"/>
  <c r="G73" i="6" s="1"/>
  <c r="F73" i="6" a="1"/>
  <c r="F73" i="6" s="1"/>
  <c r="K73" i="6" s="1"/>
  <c r="E73" i="6" a="1"/>
  <c r="E73" i="6" s="1"/>
  <c r="I72" i="6"/>
  <c r="J72" i="6" s="1"/>
  <c r="H72" i="6"/>
  <c r="G72" i="6"/>
  <c r="G72" i="6" a="1"/>
  <c r="F72" i="6"/>
  <c r="F72" i="6" a="1"/>
  <c r="E72" i="6"/>
  <c r="K72" i="6" s="1"/>
  <c r="E72" i="6" a="1"/>
  <c r="I71" i="6"/>
  <c r="H71" i="6"/>
  <c r="G71" i="6" a="1"/>
  <c r="G71" i="6" s="1"/>
  <c r="F71" i="6" a="1"/>
  <c r="F71" i="6" s="1"/>
  <c r="K71" i="6" s="1"/>
  <c r="E71" i="6" a="1"/>
  <c r="E71" i="6" s="1"/>
  <c r="I70" i="6"/>
  <c r="H70" i="6"/>
  <c r="G70" i="6"/>
  <c r="G70" i="6" a="1"/>
  <c r="F70" i="6" a="1"/>
  <c r="F70" i="6" s="1"/>
  <c r="E70" i="6"/>
  <c r="K70" i="6" s="1"/>
  <c r="E70" i="6" a="1"/>
  <c r="I69" i="6"/>
  <c r="H69" i="6"/>
  <c r="G69" i="6" a="1"/>
  <c r="G69" i="6" s="1"/>
  <c r="F69" i="6" a="1"/>
  <c r="F69" i="6" s="1"/>
  <c r="K69" i="6" s="1"/>
  <c r="E69" i="6" a="1"/>
  <c r="E69" i="6" s="1"/>
  <c r="I68" i="6"/>
  <c r="H68" i="6"/>
  <c r="G68" i="6" a="1"/>
  <c r="G68" i="6" s="1"/>
  <c r="F68" i="6"/>
  <c r="F68" i="6" a="1"/>
  <c r="E68" i="6" a="1"/>
  <c r="E68" i="6" s="1"/>
  <c r="K68" i="6" s="1"/>
  <c r="I67" i="6"/>
  <c r="H67" i="6"/>
  <c r="G67" i="6"/>
  <c r="G67" i="6" a="1"/>
  <c r="F67" i="6" a="1"/>
  <c r="F67" i="6" s="1"/>
  <c r="K67" i="6" s="1"/>
  <c r="E67" i="6" a="1"/>
  <c r="E67" i="6" s="1"/>
  <c r="K66" i="6"/>
  <c r="I66" i="6"/>
  <c r="H66" i="6"/>
  <c r="G66" i="6"/>
  <c r="G66" i="6" a="1"/>
  <c r="F66" i="6" a="1"/>
  <c r="F66" i="6" s="1"/>
  <c r="E66" i="6"/>
  <c r="E66" i="6" a="1"/>
  <c r="I65" i="6"/>
  <c r="H65" i="6"/>
  <c r="G65" i="6" a="1"/>
  <c r="G65" i="6" s="1"/>
  <c r="F65" i="6" a="1"/>
  <c r="F65" i="6" s="1"/>
  <c r="K65" i="6" s="1"/>
  <c r="E65" i="6" a="1"/>
  <c r="E65" i="6" s="1"/>
  <c r="I64" i="6"/>
  <c r="H64" i="6"/>
  <c r="G64" i="6"/>
  <c r="G64" i="6" a="1"/>
  <c r="F64" i="6" a="1"/>
  <c r="F64" i="6" s="1"/>
  <c r="E64" i="6" a="1"/>
  <c r="E64" i="6" s="1"/>
  <c r="K64" i="6" s="1"/>
  <c r="I63" i="6"/>
  <c r="H63" i="6"/>
  <c r="G63" i="6" a="1"/>
  <c r="G63" i="6" s="1"/>
  <c r="F63" i="6" a="1"/>
  <c r="F63" i="6" s="1"/>
  <c r="K63" i="6" s="1"/>
  <c r="E63" i="6" a="1"/>
  <c r="E63" i="6" s="1"/>
  <c r="I62" i="6"/>
  <c r="H62" i="6"/>
  <c r="G62" i="6"/>
  <c r="G62" i="6" a="1"/>
  <c r="F62" i="6"/>
  <c r="F62" i="6" a="1"/>
  <c r="E62" i="6" a="1"/>
  <c r="E62" i="6" s="1"/>
  <c r="K62" i="6" s="1"/>
  <c r="I61" i="6"/>
  <c r="H61" i="6"/>
  <c r="G61" i="6" a="1"/>
  <c r="G61" i="6" s="1"/>
  <c r="F61" i="6" a="1"/>
  <c r="F61" i="6" s="1"/>
  <c r="K61" i="6" s="1"/>
  <c r="E61" i="6" a="1"/>
  <c r="E61" i="6" s="1"/>
  <c r="I60" i="6"/>
  <c r="H60" i="6"/>
  <c r="G60" i="6"/>
  <c r="G60" i="6" a="1"/>
  <c r="F60" i="6"/>
  <c r="F60" i="6" a="1"/>
  <c r="E60" i="6"/>
  <c r="K60" i="6" s="1"/>
  <c r="E60" i="6" a="1"/>
  <c r="I59" i="6"/>
  <c r="H59" i="6"/>
  <c r="G59" i="6" a="1"/>
  <c r="G59" i="6" s="1"/>
  <c r="F59" i="6" a="1"/>
  <c r="F59" i="6" s="1"/>
  <c r="K59" i="6" s="1"/>
  <c r="E59" i="6" a="1"/>
  <c r="E59" i="6" s="1"/>
  <c r="I58" i="6"/>
  <c r="H58" i="6"/>
  <c r="G58" i="6"/>
  <c r="G58" i="6" a="1"/>
  <c r="F58" i="6" a="1"/>
  <c r="F58" i="6" s="1"/>
  <c r="E58" i="6"/>
  <c r="K58" i="6" s="1"/>
  <c r="E58" i="6" a="1"/>
  <c r="J57" i="6"/>
  <c r="I57" i="6"/>
  <c r="H57" i="6"/>
  <c r="G57" i="6" a="1"/>
  <c r="G57" i="6" s="1"/>
  <c r="F57" i="6" a="1"/>
  <c r="F57" i="6" s="1"/>
  <c r="K57" i="6" s="1"/>
  <c r="E57" i="6" a="1"/>
  <c r="E57" i="6" s="1"/>
  <c r="J56" i="6"/>
  <c r="I56" i="6"/>
  <c r="H56" i="6"/>
  <c r="G56" i="6" a="1"/>
  <c r="G56" i="6" s="1"/>
  <c r="F56" i="6"/>
  <c r="F56" i="6" a="1"/>
  <c r="E56" i="6" a="1"/>
  <c r="E56" i="6" s="1"/>
  <c r="K56" i="6" s="1"/>
  <c r="J55" i="6"/>
  <c r="I55" i="6"/>
  <c r="H55" i="6"/>
  <c r="G55" i="6"/>
  <c r="G55" i="6" a="1"/>
  <c r="F55" i="6" a="1"/>
  <c r="F55" i="6" s="1"/>
  <c r="K55" i="6" s="1"/>
  <c r="M55" i="6" s="1"/>
  <c r="E55" i="6" a="1"/>
  <c r="E55" i="6" s="1"/>
  <c r="K54" i="6"/>
  <c r="I54" i="6"/>
  <c r="J54" i="6" s="1"/>
  <c r="M54" i="6" s="1"/>
  <c r="H54" i="6"/>
  <c r="G54" i="6"/>
  <c r="G54" i="6" a="1"/>
  <c r="F54" i="6" a="1"/>
  <c r="F54" i="6" s="1"/>
  <c r="E54" i="6"/>
  <c r="E54" i="6" a="1"/>
  <c r="I53" i="6"/>
  <c r="H53" i="6"/>
  <c r="G53" i="6" a="1"/>
  <c r="G53" i="6" s="1"/>
  <c r="F53" i="6" a="1"/>
  <c r="F53" i="6" s="1"/>
  <c r="K53" i="6" s="1"/>
  <c r="E53" i="6" a="1"/>
  <c r="E53" i="6" s="1"/>
  <c r="I52" i="6"/>
  <c r="H52" i="6"/>
  <c r="G52" i="6"/>
  <c r="G52" i="6" a="1"/>
  <c r="F52" i="6" a="1"/>
  <c r="F52" i="6" s="1"/>
  <c r="E52" i="6" a="1"/>
  <c r="E52" i="6" s="1"/>
  <c r="K52" i="6" s="1"/>
  <c r="I51" i="6"/>
  <c r="H51" i="6"/>
  <c r="G51" i="6" a="1"/>
  <c r="G51" i="6" s="1"/>
  <c r="F51" i="6" a="1"/>
  <c r="F51" i="6" s="1"/>
  <c r="K51" i="6" s="1"/>
  <c r="E51" i="6" a="1"/>
  <c r="E51" i="6" s="1"/>
  <c r="I50" i="6"/>
  <c r="H50" i="6"/>
  <c r="G50" i="6"/>
  <c r="G50" i="6" a="1"/>
  <c r="F50" i="6"/>
  <c r="F50" i="6" a="1"/>
  <c r="E50" i="6" a="1"/>
  <c r="E50" i="6" s="1"/>
  <c r="K50" i="6" s="1"/>
  <c r="I49" i="6"/>
  <c r="H49" i="6"/>
  <c r="G49" i="6" a="1"/>
  <c r="G49" i="6" s="1"/>
  <c r="F49" i="6" a="1"/>
  <c r="F49" i="6" s="1"/>
  <c r="K49" i="6" s="1"/>
  <c r="E49" i="6" a="1"/>
  <c r="E49" i="6" s="1"/>
  <c r="I48" i="6"/>
  <c r="H48" i="6"/>
  <c r="G48" i="6"/>
  <c r="G48" i="6" a="1"/>
  <c r="F48" i="6"/>
  <c r="F48" i="6" a="1"/>
  <c r="E48" i="6"/>
  <c r="K48" i="6" s="1"/>
  <c r="E48" i="6" a="1"/>
  <c r="I47" i="6"/>
  <c r="H47" i="6"/>
  <c r="G47" i="6" a="1"/>
  <c r="G47" i="6" s="1"/>
  <c r="F47" i="6" a="1"/>
  <c r="F47" i="6" s="1"/>
  <c r="K47" i="6" s="1"/>
  <c r="E47" i="6" a="1"/>
  <c r="E47" i="6" s="1"/>
  <c r="I46" i="6"/>
  <c r="H46" i="6"/>
  <c r="G46" i="6"/>
  <c r="G46" i="6" a="1"/>
  <c r="F46" i="6" a="1"/>
  <c r="F46" i="6" s="1"/>
  <c r="E46" i="6"/>
  <c r="K46" i="6" s="1"/>
  <c r="E46" i="6" a="1"/>
  <c r="J45" i="6"/>
  <c r="I45" i="6"/>
  <c r="H45" i="6"/>
  <c r="G45" i="6" a="1"/>
  <c r="G45" i="6" s="1"/>
  <c r="F45" i="6" a="1"/>
  <c r="F45" i="6" s="1"/>
  <c r="K45" i="6" s="1"/>
  <c r="E45" i="6" a="1"/>
  <c r="E45" i="6" s="1"/>
  <c r="J44" i="6"/>
  <c r="I44" i="6"/>
  <c r="H44" i="6"/>
  <c r="G44" i="6" a="1"/>
  <c r="G44" i="6" s="1"/>
  <c r="F44" i="6"/>
  <c r="F44" i="6" a="1"/>
  <c r="E44" i="6" a="1"/>
  <c r="E44" i="6" s="1"/>
  <c r="K44" i="6" s="1"/>
  <c r="I43" i="6"/>
  <c r="H43" i="6"/>
  <c r="G43" i="6"/>
  <c r="G43" i="6" a="1"/>
  <c r="F43" i="6" a="1"/>
  <c r="F43" i="6" s="1"/>
  <c r="K43" i="6" s="1"/>
  <c r="E43" i="6" a="1"/>
  <c r="E43" i="6" s="1"/>
  <c r="K42" i="6"/>
  <c r="I42" i="6"/>
  <c r="H42" i="6"/>
  <c r="G42" i="6"/>
  <c r="G42" i="6" a="1"/>
  <c r="F42" i="6" a="1"/>
  <c r="F42" i="6" s="1"/>
  <c r="E42" i="6"/>
  <c r="E42" i="6" a="1"/>
  <c r="I41" i="6"/>
  <c r="H41" i="6"/>
  <c r="G41" i="6"/>
  <c r="G41" i="6" a="1"/>
  <c r="F41" i="6" a="1"/>
  <c r="F41" i="6" s="1"/>
  <c r="K41" i="6" s="1"/>
  <c r="E41" i="6" a="1"/>
  <c r="E41" i="6" s="1"/>
  <c r="I40" i="6"/>
  <c r="H40" i="6"/>
  <c r="G40" i="6"/>
  <c r="G40" i="6" a="1"/>
  <c r="F40" i="6" a="1"/>
  <c r="F40" i="6" s="1"/>
  <c r="E40" i="6" a="1"/>
  <c r="E40" i="6" s="1"/>
  <c r="K40" i="6" s="1"/>
  <c r="I39" i="6"/>
  <c r="H39" i="6"/>
  <c r="G39" i="6" a="1"/>
  <c r="G39" i="6" s="1"/>
  <c r="F39" i="6" a="1"/>
  <c r="F39" i="6" s="1"/>
  <c r="K39" i="6" s="1"/>
  <c r="E39" i="6" a="1"/>
  <c r="E39" i="6" s="1"/>
  <c r="I38" i="6"/>
  <c r="H38" i="6"/>
  <c r="G38" i="6"/>
  <c r="G38" i="6" a="1"/>
  <c r="F38" i="6"/>
  <c r="F38" i="6" a="1"/>
  <c r="E38" i="6" a="1"/>
  <c r="E38" i="6" s="1"/>
  <c r="K38" i="6" s="1"/>
  <c r="J37" i="6"/>
  <c r="M37" i="6" s="1"/>
  <c r="I37" i="6"/>
  <c r="H37" i="6"/>
  <c r="G37" i="6" a="1"/>
  <c r="G37" i="6" s="1"/>
  <c r="F37" i="6" a="1"/>
  <c r="F37" i="6" s="1"/>
  <c r="K37" i="6" s="1"/>
  <c r="E37" i="6" a="1"/>
  <c r="E37" i="6" s="1"/>
  <c r="I36" i="6"/>
  <c r="J36" i="6" s="1"/>
  <c r="H36" i="6"/>
  <c r="G36" i="6"/>
  <c r="G36" i="6" a="1"/>
  <c r="F36" i="6"/>
  <c r="F36" i="6" a="1"/>
  <c r="E36" i="6"/>
  <c r="K36" i="6" s="1"/>
  <c r="E36" i="6" a="1"/>
  <c r="I35" i="6"/>
  <c r="H35" i="6"/>
  <c r="G35" i="6" a="1"/>
  <c r="G35" i="6" s="1"/>
  <c r="F35" i="6" a="1"/>
  <c r="F35" i="6" s="1"/>
  <c r="K35" i="6" s="1"/>
  <c r="E35" i="6" a="1"/>
  <c r="E35" i="6" s="1"/>
  <c r="I34" i="6"/>
  <c r="H34" i="6"/>
  <c r="G34" i="6"/>
  <c r="G34" i="6" a="1"/>
  <c r="F34" i="6" a="1"/>
  <c r="F34" i="6" s="1"/>
  <c r="E34" i="6"/>
  <c r="K34" i="6" s="1"/>
  <c r="E34" i="6" a="1"/>
  <c r="I33" i="6"/>
  <c r="H33" i="6"/>
  <c r="G33" i="6" a="1"/>
  <c r="G33" i="6" s="1"/>
  <c r="F33" i="6" a="1"/>
  <c r="F33" i="6" s="1"/>
  <c r="K33" i="6" s="1"/>
  <c r="E33" i="6" a="1"/>
  <c r="E33" i="6" s="1"/>
  <c r="I32" i="6"/>
  <c r="H32" i="6"/>
  <c r="G32" i="6" a="1"/>
  <c r="G32" i="6" s="1"/>
  <c r="F32" i="6"/>
  <c r="F32" i="6" a="1"/>
  <c r="E32" i="6" a="1"/>
  <c r="E32" i="6" s="1"/>
  <c r="K32" i="6" s="1"/>
  <c r="J31" i="6"/>
  <c r="I31" i="6"/>
  <c r="H31" i="6"/>
  <c r="G31" i="6"/>
  <c r="G31" i="6" a="1"/>
  <c r="F31" i="6" a="1"/>
  <c r="F31" i="6" s="1"/>
  <c r="K31" i="6" s="1"/>
  <c r="E31" i="6" a="1"/>
  <c r="E31" i="6" s="1"/>
  <c r="K30" i="6"/>
  <c r="I30" i="6"/>
  <c r="J30" i="6" s="1"/>
  <c r="M30" i="6" s="1"/>
  <c r="H30" i="6"/>
  <c r="G30" i="6"/>
  <c r="G30" i="6" a="1"/>
  <c r="F30" i="6" a="1"/>
  <c r="F30" i="6" s="1"/>
  <c r="E30" i="6"/>
  <c r="E30" i="6" a="1"/>
  <c r="I29" i="6"/>
  <c r="H29" i="6"/>
  <c r="G29" i="6" a="1"/>
  <c r="G29" i="6" s="1"/>
  <c r="F29" i="6" a="1"/>
  <c r="F29" i="6" s="1"/>
  <c r="K29" i="6" s="1"/>
  <c r="E29" i="6" a="1"/>
  <c r="E29" i="6" s="1"/>
  <c r="I28" i="6"/>
  <c r="H28" i="6"/>
  <c r="G28" i="6"/>
  <c r="G28" i="6" a="1"/>
  <c r="F28" i="6" a="1"/>
  <c r="F28" i="6" s="1"/>
  <c r="E28" i="6" a="1"/>
  <c r="E28" i="6" s="1"/>
  <c r="K28" i="6" s="1"/>
  <c r="I27" i="6"/>
  <c r="H27" i="6"/>
  <c r="G27" i="6" a="1"/>
  <c r="G27" i="6" s="1"/>
  <c r="F27" i="6" a="1"/>
  <c r="F27" i="6" s="1"/>
  <c r="K27" i="6" s="1"/>
  <c r="E27" i="6" a="1"/>
  <c r="E27" i="6" s="1"/>
  <c r="I26" i="6"/>
  <c r="H26" i="6"/>
  <c r="G26" i="6"/>
  <c r="G26" i="6" a="1"/>
  <c r="F26" i="6"/>
  <c r="F26" i="6" a="1"/>
  <c r="E26" i="6" a="1"/>
  <c r="E26" i="6" s="1"/>
  <c r="K26" i="6" s="1"/>
  <c r="I25" i="6"/>
  <c r="H25" i="6"/>
  <c r="G25" i="6" a="1"/>
  <c r="G25" i="6" s="1"/>
  <c r="F25" i="6" a="1"/>
  <c r="F25" i="6" s="1"/>
  <c r="K25" i="6" s="1"/>
  <c r="E25" i="6" a="1"/>
  <c r="E25" i="6" s="1"/>
  <c r="I24" i="6"/>
  <c r="H24" i="6"/>
  <c r="G24" i="6"/>
  <c r="G24" i="6" a="1"/>
  <c r="F24" i="6"/>
  <c r="F24" i="6" a="1"/>
  <c r="E24" i="6"/>
  <c r="K24" i="6" s="1"/>
  <c r="E24" i="6" a="1"/>
  <c r="I23" i="6"/>
  <c r="J23" i="6" s="1"/>
  <c r="H23" i="6"/>
  <c r="G23" i="6" a="1"/>
  <c r="G23" i="6" s="1"/>
  <c r="F23" i="6" a="1"/>
  <c r="F23" i="6" s="1"/>
  <c r="K23" i="6" s="1"/>
  <c r="E23" i="6" a="1"/>
  <c r="E23" i="6" s="1"/>
  <c r="J22" i="6"/>
  <c r="I22" i="6"/>
  <c r="H22" i="6"/>
  <c r="G22" i="6"/>
  <c r="G22" i="6" a="1"/>
  <c r="F22" i="6" a="1"/>
  <c r="F22" i="6" s="1"/>
  <c r="E22" i="6"/>
  <c r="K22" i="6" s="1"/>
  <c r="E22" i="6" a="1"/>
  <c r="I21" i="6"/>
  <c r="H21" i="6"/>
  <c r="G21" i="6" a="1"/>
  <c r="G21" i="6" s="1"/>
  <c r="F21" i="6" a="1"/>
  <c r="F21" i="6" s="1"/>
  <c r="K21" i="6" s="1"/>
  <c r="E21" i="6" a="1"/>
  <c r="E21" i="6" s="1"/>
  <c r="K20" i="6"/>
  <c r="I20" i="6"/>
  <c r="H20" i="6"/>
  <c r="G20" i="6" a="1"/>
  <c r="G20" i="6" s="1"/>
  <c r="F20" i="6"/>
  <c r="F20" i="6" a="1"/>
  <c r="E20" i="6" a="1"/>
  <c r="E20" i="6" s="1"/>
  <c r="I19" i="6"/>
  <c r="H19" i="6"/>
  <c r="G19" i="6"/>
  <c r="G19" i="6" a="1"/>
  <c r="F19" i="6" a="1"/>
  <c r="F19" i="6" s="1"/>
  <c r="K19" i="6" s="1"/>
  <c r="E19" i="6" a="1"/>
  <c r="E19" i="6" s="1"/>
  <c r="I18" i="6"/>
  <c r="H18" i="6"/>
  <c r="G18" i="6"/>
  <c r="G18" i="6" a="1"/>
  <c r="F18" i="6" a="1"/>
  <c r="F18" i="6" s="1"/>
  <c r="E18" i="6"/>
  <c r="K18" i="6" s="1"/>
  <c r="E18" i="6" a="1"/>
  <c r="K17" i="6"/>
  <c r="I17" i="6"/>
  <c r="H17" i="6"/>
  <c r="G17" i="6"/>
  <c r="G17" i="6" a="1"/>
  <c r="F17" i="6" a="1"/>
  <c r="F17" i="6" s="1"/>
  <c r="E17" i="6" a="1"/>
  <c r="E17" i="6" s="1"/>
  <c r="I16" i="6"/>
  <c r="H16" i="6"/>
  <c r="G16" i="6"/>
  <c r="G16" i="6" a="1"/>
  <c r="F16" i="6"/>
  <c r="F16" i="6" a="1"/>
  <c r="E16" i="6" a="1"/>
  <c r="E16" i="6" s="1"/>
  <c r="K16" i="6" s="1"/>
  <c r="K15" i="6"/>
  <c r="I15" i="6"/>
  <c r="H15" i="6"/>
  <c r="G15" i="6" a="1"/>
  <c r="G15" i="6" s="1"/>
  <c r="F15" i="6" a="1"/>
  <c r="F15" i="6" s="1"/>
  <c r="E15" i="6" a="1"/>
  <c r="E15" i="6" s="1"/>
  <c r="K14" i="6"/>
  <c r="I14" i="6"/>
  <c r="H14" i="6"/>
  <c r="G14" i="6" a="1"/>
  <c r="G14" i="6" s="1"/>
  <c r="F14" i="6"/>
  <c r="F14" i="6" a="1"/>
  <c r="E14" i="6"/>
  <c r="E14" i="6" a="1"/>
  <c r="I13" i="6"/>
  <c r="J13" i="6" s="1"/>
  <c r="M13" i="6" s="1"/>
  <c r="H13" i="6"/>
  <c r="G13" i="6" a="1"/>
  <c r="G13" i="6" s="1"/>
  <c r="F13" i="6" a="1"/>
  <c r="F13" i="6" s="1"/>
  <c r="K13" i="6" s="1"/>
  <c r="E13" i="6" a="1"/>
  <c r="E13" i="6" s="1"/>
  <c r="J12" i="6"/>
  <c r="I12" i="6"/>
  <c r="H12" i="6"/>
  <c r="G12" i="6"/>
  <c r="G12" i="6" a="1"/>
  <c r="F12" i="6"/>
  <c r="F12" i="6" a="1"/>
  <c r="E12" i="6" a="1"/>
  <c r="E12" i="6" s="1"/>
  <c r="K12" i="6" s="1"/>
  <c r="M12" i="6" s="1"/>
  <c r="I11" i="6"/>
  <c r="J11" i="6" s="1"/>
  <c r="M11" i="6" s="1"/>
  <c r="H11" i="6"/>
  <c r="G11" i="6" a="1"/>
  <c r="G11" i="6" s="1"/>
  <c r="F11" i="6" a="1"/>
  <c r="F11" i="6" s="1"/>
  <c r="K11" i="6" s="1"/>
  <c r="E11" i="6" a="1"/>
  <c r="E11" i="6" s="1"/>
  <c r="J10" i="6"/>
  <c r="I10" i="6"/>
  <c r="H10" i="6"/>
  <c r="G10" i="6" a="1"/>
  <c r="G10" i="6" s="1"/>
  <c r="F10" i="6"/>
  <c r="F10" i="6" a="1"/>
  <c r="E10" i="6"/>
  <c r="K10" i="6" s="1"/>
  <c r="M10" i="6" s="1"/>
  <c r="E10" i="6" a="1"/>
  <c r="J9" i="6"/>
  <c r="I9" i="6"/>
  <c r="H9" i="6"/>
  <c r="G9" i="6"/>
  <c r="G9" i="6" a="1"/>
  <c r="F9" i="6" a="1"/>
  <c r="F9" i="6" s="1"/>
  <c r="K9" i="6" s="1"/>
  <c r="E9" i="6" a="1"/>
  <c r="E9" i="6" s="1"/>
  <c r="J8" i="6"/>
  <c r="I8" i="6"/>
  <c r="H8" i="6"/>
  <c r="G8" i="6" a="1"/>
  <c r="G8" i="6" s="1"/>
  <c r="F8" i="6" a="1"/>
  <c r="F8" i="6" s="1"/>
  <c r="E8" i="6" a="1"/>
  <c r="E8" i="6" s="1"/>
  <c r="K8" i="6" s="1"/>
  <c r="J7" i="6"/>
  <c r="I7" i="6"/>
  <c r="H7" i="6"/>
  <c r="G7" i="6"/>
  <c r="G7" i="6" a="1"/>
  <c r="F7" i="6" a="1"/>
  <c r="F7" i="6" s="1"/>
  <c r="K7" i="6" s="1"/>
  <c r="E7" i="6" a="1"/>
  <c r="E7" i="6" s="1"/>
  <c r="I6" i="6"/>
  <c r="J6" i="6" s="1"/>
  <c r="M6" i="6" s="1"/>
  <c r="H6" i="6"/>
  <c r="G6" i="6"/>
  <c r="G6" i="6" a="1"/>
  <c r="F6" i="6" a="1"/>
  <c r="F6" i="6" s="1"/>
  <c r="E6" i="6" a="1"/>
  <c r="E6" i="6" s="1"/>
  <c r="K6" i="6" s="1"/>
  <c r="K5" i="6"/>
  <c r="J5" i="6"/>
  <c r="M5" i="6" s="1"/>
  <c r="I5" i="6"/>
  <c r="H5" i="6"/>
  <c r="G5" i="6"/>
  <c r="G5" i="6" a="1"/>
  <c r="F5" i="6"/>
  <c r="F5" i="6" a="1"/>
  <c r="E5" i="6" a="1"/>
  <c r="E5" i="6" s="1"/>
  <c r="I4" i="6"/>
  <c r="J4" i="6" s="1"/>
  <c r="M4" i="6" s="1"/>
  <c r="H4" i="6"/>
  <c r="G4" i="6" a="1"/>
  <c r="G4" i="6" s="1"/>
  <c r="F4" i="6" a="1"/>
  <c r="F4" i="6" s="1"/>
  <c r="E4" i="6" a="1"/>
  <c r="E4" i="6" s="1"/>
  <c r="K4" i="6" s="1"/>
  <c r="J3" i="6"/>
  <c r="I3" i="6"/>
  <c r="H3" i="6"/>
  <c r="G3" i="6" a="1"/>
  <c r="G3" i="6" s="1"/>
  <c r="F3" i="6" a="1"/>
  <c r="F3" i="6" s="1"/>
  <c r="K3" i="6" s="1"/>
  <c r="E3" i="6" a="1"/>
  <c r="E3" i="6" s="1"/>
  <c r="J2" i="6"/>
  <c r="M2" i="6" s="1"/>
  <c r="I2" i="6"/>
  <c r="H2" i="6"/>
  <c r="G2" i="6"/>
  <c r="G2" i="6" a="1"/>
  <c r="F2" i="6" a="1"/>
  <c r="F2" i="6" s="1"/>
  <c r="E2" i="6" a="1"/>
  <c r="E2" i="6" s="1"/>
  <c r="K2" i="6" s="1"/>
  <c r="E3" i="2" a="1"/>
  <c r="E3" i="2" s="1"/>
  <c r="F3" i="2" a="1"/>
  <c r="F3" i="2" s="1"/>
  <c r="K3" i="2" s="1"/>
  <c r="G3" i="2" a="1"/>
  <c r="G3" i="2" s="1"/>
  <c r="H3" i="2"/>
  <c r="I3" i="2"/>
  <c r="J3" i="2" s="1"/>
  <c r="E4" i="2" a="1"/>
  <c r="E4" i="2" s="1"/>
  <c r="K4" i="2" s="1"/>
  <c r="M4" i="2" s="1"/>
  <c r="F4" i="2" a="1"/>
  <c r="F4" i="2"/>
  <c r="G4" i="2" a="1"/>
  <c r="G4" i="2" s="1"/>
  <c r="H4" i="2"/>
  <c r="I4" i="2"/>
  <c r="J4" i="2" s="1"/>
  <c r="E5" i="2" a="1"/>
  <c r="E5" i="2"/>
  <c r="F5" i="2" a="1"/>
  <c r="F5" i="2" s="1"/>
  <c r="K5" i="2" s="1"/>
  <c r="G5" i="2" a="1"/>
  <c r="G5" i="2" s="1"/>
  <c r="H5" i="2"/>
  <c r="I5" i="2"/>
  <c r="J5" i="2" s="1"/>
  <c r="E6" i="2" a="1"/>
  <c r="E6" i="2" s="1"/>
  <c r="K6" i="2" s="1"/>
  <c r="M6" i="2" s="1"/>
  <c r="F6" i="2" a="1"/>
  <c r="F6" i="2" s="1"/>
  <c r="G6" i="2" a="1"/>
  <c r="G6" i="2"/>
  <c r="H6" i="2"/>
  <c r="I6" i="2"/>
  <c r="J6" i="2" s="1"/>
  <c r="E7" i="2" a="1"/>
  <c r="E7" i="2" s="1"/>
  <c r="F7" i="2" a="1"/>
  <c r="F7" i="2" s="1"/>
  <c r="K7" i="2" s="1"/>
  <c r="G7" i="2" a="1"/>
  <c r="G7" i="2" s="1"/>
  <c r="H7" i="2"/>
  <c r="I7" i="2"/>
  <c r="J7" i="2" s="1"/>
  <c r="E8" i="2" a="1"/>
  <c r="E8" i="2" s="1"/>
  <c r="K8" i="2" s="1"/>
  <c r="F8" i="2" a="1"/>
  <c r="F8" i="2" s="1"/>
  <c r="G8" i="2" a="1"/>
  <c r="G8" i="2" s="1"/>
  <c r="H8" i="2"/>
  <c r="I8" i="2"/>
  <c r="J8" i="2" s="1"/>
  <c r="E9" i="2" a="1"/>
  <c r="E9" i="2" s="1"/>
  <c r="F9" i="2" a="1"/>
  <c r="F9" i="2" s="1"/>
  <c r="K9" i="2" s="1"/>
  <c r="G9" i="2" a="1"/>
  <c r="G9" i="2" s="1"/>
  <c r="H9" i="2"/>
  <c r="I9" i="2"/>
  <c r="J9" i="2" s="1"/>
  <c r="E10" i="2" a="1"/>
  <c r="E10" i="2" s="1"/>
  <c r="K10" i="2" s="1"/>
  <c r="F10" i="2" a="1"/>
  <c r="F10" i="2" s="1"/>
  <c r="G10" i="2" a="1"/>
  <c r="G10" i="2"/>
  <c r="H10" i="2"/>
  <c r="I10" i="2"/>
  <c r="J10" i="2" s="1"/>
  <c r="E11" i="2" a="1"/>
  <c r="E11" i="2" s="1"/>
  <c r="F11" i="2" a="1"/>
  <c r="F11" i="2" s="1"/>
  <c r="K11" i="2" s="1"/>
  <c r="G11" i="2" a="1"/>
  <c r="G11" i="2" s="1"/>
  <c r="H11" i="2"/>
  <c r="I11" i="2"/>
  <c r="J11" i="2" s="1"/>
  <c r="E12" i="2" a="1"/>
  <c r="E12" i="2" s="1"/>
  <c r="F12" i="2" a="1"/>
  <c r="F12" i="2" s="1"/>
  <c r="G12" i="2" a="1"/>
  <c r="G12" i="2" s="1"/>
  <c r="H12" i="2"/>
  <c r="I12" i="2"/>
  <c r="E13" i="2" a="1"/>
  <c r="E13" i="2" s="1"/>
  <c r="F13" i="2" a="1"/>
  <c r="F13" i="2" s="1"/>
  <c r="K13" i="2" s="1"/>
  <c r="G13" i="2" a="1"/>
  <c r="G13" i="2" s="1"/>
  <c r="H13" i="2"/>
  <c r="I13" i="2"/>
  <c r="J13" i="2" s="1"/>
  <c r="E14" i="2" a="1"/>
  <c r="E14" i="2"/>
  <c r="K14" i="2" s="1"/>
  <c r="F14" i="2" a="1"/>
  <c r="F14" i="2"/>
  <c r="G14" i="2" a="1"/>
  <c r="G14" i="2" s="1"/>
  <c r="H14" i="2"/>
  <c r="I14" i="2"/>
  <c r="E15" i="2" a="1"/>
  <c r="E15" i="2" s="1"/>
  <c r="F15" i="2" a="1"/>
  <c r="F15" i="2" s="1"/>
  <c r="K15" i="2" s="1"/>
  <c r="G15" i="2" a="1"/>
  <c r="G15" i="2" s="1"/>
  <c r="H15" i="2"/>
  <c r="I15" i="2"/>
  <c r="E16" i="2" a="1"/>
  <c r="E16" i="2" s="1"/>
  <c r="K16" i="2" s="1"/>
  <c r="F16" i="2" a="1"/>
  <c r="F16" i="2" s="1"/>
  <c r="G16" i="2" a="1"/>
  <c r="G16" i="2" s="1"/>
  <c r="H16" i="2"/>
  <c r="I16" i="2"/>
  <c r="E17" i="2" a="1"/>
  <c r="E17" i="2"/>
  <c r="F17" i="2" a="1"/>
  <c r="F17" i="2" s="1"/>
  <c r="G17" i="2" a="1"/>
  <c r="G17" i="2" s="1"/>
  <c r="H17" i="2"/>
  <c r="I17" i="2"/>
  <c r="E18" i="2" a="1"/>
  <c r="E18" i="2" s="1"/>
  <c r="K18" i="2" s="1"/>
  <c r="F18" i="2" a="1"/>
  <c r="F18" i="2" s="1"/>
  <c r="G18" i="2" a="1"/>
  <c r="G18" i="2" s="1"/>
  <c r="H18" i="2"/>
  <c r="I18" i="2"/>
  <c r="E19" i="2" a="1"/>
  <c r="E19" i="2" s="1"/>
  <c r="F19" i="2" a="1"/>
  <c r="F19" i="2" s="1"/>
  <c r="G19" i="2" a="1"/>
  <c r="G19" i="2" s="1"/>
  <c r="H19" i="2"/>
  <c r="I19" i="2"/>
  <c r="E20" i="2" a="1"/>
  <c r="E20" i="2" s="1"/>
  <c r="F20" i="2" a="1"/>
  <c r="F20" i="2" s="1"/>
  <c r="G20" i="2" a="1"/>
  <c r="G20" i="2" s="1"/>
  <c r="H20" i="2"/>
  <c r="I20" i="2"/>
  <c r="E21" i="2" a="1"/>
  <c r="E21" i="2" s="1"/>
  <c r="F21" i="2" a="1"/>
  <c r="F21" i="2" s="1"/>
  <c r="G21" i="2" a="1"/>
  <c r="G21" i="2"/>
  <c r="H21" i="2"/>
  <c r="I21" i="2"/>
  <c r="E22" i="2" a="1"/>
  <c r="E22" i="2" s="1"/>
  <c r="K22" i="2" s="1"/>
  <c r="F22" i="2" a="1"/>
  <c r="F22" i="2" s="1"/>
  <c r="G22" i="2" a="1"/>
  <c r="G22" i="2"/>
  <c r="H22" i="2"/>
  <c r="I22" i="2"/>
  <c r="J22" i="2" s="1"/>
  <c r="E23" i="2" a="1"/>
  <c r="E23" i="2" s="1"/>
  <c r="F23" i="2" a="1"/>
  <c r="F23" i="2" s="1"/>
  <c r="K23" i="2" s="1"/>
  <c r="G23" i="2" a="1"/>
  <c r="G23" i="2" s="1"/>
  <c r="H23" i="2"/>
  <c r="I23" i="2"/>
  <c r="J23" i="2" s="1"/>
  <c r="E24" i="2" a="1"/>
  <c r="E24" i="2" s="1"/>
  <c r="F24" i="2" a="1"/>
  <c r="F24" i="2" s="1"/>
  <c r="G24" i="2" a="1"/>
  <c r="G24" i="2" s="1"/>
  <c r="H24" i="2"/>
  <c r="I24" i="2"/>
  <c r="E25" i="2" a="1"/>
  <c r="E25" i="2" s="1"/>
  <c r="F25" i="2" a="1"/>
  <c r="F25" i="2" s="1"/>
  <c r="G25" i="2" a="1"/>
  <c r="G25" i="2" s="1"/>
  <c r="H25" i="2"/>
  <c r="I25" i="2"/>
  <c r="E26" i="2" a="1"/>
  <c r="E26" i="2"/>
  <c r="F26" i="2" a="1"/>
  <c r="F26" i="2"/>
  <c r="G26" i="2" a="1"/>
  <c r="G26" i="2" s="1"/>
  <c r="H26" i="2"/>
  <c r="I26" i="2"/>
  <c r="E27" i="2" a="1"/>
  <c r="E27" i="2" s="1"/>
  <c r="F27" i="2" a="1"/>
  <c r="F27" i="2" s="1"/>
  <c r="G27" i="2" a="1"/>
  <c r="G27" i="2" s="1"/>
  <c r="H27" i="2"/>
  <c r="I27" i="2"/>
  <c r="E28" i="2" a="1"/>
  <c r="E28" i="2" s="1"/>
  <c r="K28" i="2" s="1"/>
  <c r="F28" i="2" a="1"/>
  <c r="F28" i="2" s="1"/>
  <c r="G28" i="2" a="1"/>
  <c r="G28" i="2"/>
  <c r="H28" i="2"/>
  <c r="I28" i="2"/>
  <c r="E29" i="2" a="1"/>
  <c r="E29" i="2" s="1"/>
  <c r="F29" i="2" a="1"/>
  <c r="F29" i="2" s="1"/>
  <c r="G29" i="2" a="1"/>
  <c r="G29" i="2" s="1"/>
  <c r="H29" i="2"/>
  <c r="I29" i="2"/>
  <c r="E30" i="2" a="1"/>
  <c r="E30" i="2" s="1"/>
  <c r="K30" i="2" s="1"/>
  <c r="F30" i="2" a="1"/>
  <c r="F30" i="2" s="1"/>
  <c r="G30" i="2" a="1"/>
  <c r="G30" i="2" s="1"/>
  <c r="H30" i="2"/>
  <c r="I30" i="2"/>
  <c r="J30" i="2" s="1"/>
  <c r="E31" i="2" a="1"/>
  <c r="E31" i="2" s="1"/>
  <c r="F31" i="2" a="1"/>
  <c r="F31" i="2" s="1"/>
  <c r="K31" i="2" s="1"/>
  <c r="G31" i="2" a="1"/>
  <c r="G31" i="2" s="1"/>
  <c r="H31" i="2"/>
  <c r="I31" i="2"/>
  <c r="J31" i="2"/>
  <c r="E32" i="2" a="1"/>
  <c r="E32" i="2"/>
  <c r="F32" i="2" a="1"/>
  <c r="F32" i="2" s="1"/>
  <c r="G32" i="2" a="1"/>
  <c r="G32" i="2" s="1"/>
  <c r="H32" i="2"/>
  <c r="I32" i="2"/>
  <c r="E33" i="2" a="1"/>
  <c r="E33" i="2" s="1"/>
  <c r="F33" i="2" a="1"/>
  <c r="F33" i="2" s="1"/>
  <c r="K33" i="2" s="1"/>
  <c r="G33" i="2" a="1"/>
  <c r="G33" i="2"/>
  <c r="H33" i="2"/>
  <c r="I33" i="2"/>
  <c r="E34" i="2" a="1"/>
  <c r="E34" i="2" s="1"/>
  <c r="F34" i="2" a="1"/>
  <c r="F34" i="2"/>
  <c r="G34" i="2" a="1"/>
  <c r="G34" i="2"/>
  <c r="H34" i="2"/>
  <c r="I34" i="2"/>
  <c r="E35" i="2" a="1"/>
  <c r="E35" i="2"/>
  <c r="F35" i="2" a="1"/>
  <c r="F35" i="2" s="1"/>
  <c r="K35" i="2" s="1"/>
  <c r="G35" i="2" a="1"/>
  <c r="G35" i="2" s="1"/>
  <c r="H35" i="2"/>
  <c r="I35" i="2"/>
  <c r="E36" i="2" a="1"/>
  <c r="E36" i="2"/>
  <c r="K36" i="2" s="1"/>
  <c r="F36" i="2" a="1"/>
  <c r="F36" i="2" s="1"/>
  <c r="G36" i="2" a="1"/>
  <c r="G36" i="2" s="1"/>
  <c r="H36" i="2"/>
  <c r="I36" i="2"/>
  <c r="J36" i="2"/>
  <c r="E37" i="2" a="1"/>
  <c r="E37" i="2" s="1"/>
  <c r="F37" i="2" a="1"/>
  <c r="F37" i="2" s="1"/>
  <c r="K37" i="2" s="1"/>
  <c r="G37" i="2" a="1"/>
  <c r="G37" i="2" s="1"/>
  <c r="H37" i="2"/>
  <c r="I37" i="2"/>
  <c r="J37" i="2"/>
  <c r="E38" i="2" a="1"/>
  <c r="E38" i="2" s="1"/>
  <c r="F38" i="2" a="1"/>
  <c r="F38" i="2" s="1"/>
  <c r="G38" i="2" a="1"/>
  <c r="G38" i="2" s="1"/>
  <c r="H38" i="2"/>
  <c r="I38" i="2"/>
  <c r="E39" i="2" a="1"/>
  <c r="E39" i="2" s="1"/>
  <c r="F39" i="2" a="1"/>
  <c r="F39" i="2" s="1"/>
  <c r="K39" i="2" s="1"/>
  <c r="G39" i="2" a="1"/>
  <c r="G39" i="2"/>
  <c r="H39" i="2"/>
  <c r="I39" i="2"/>
  <c r="E40" i="2" a="1"/>
  <c r="E40" i="2" s="1"/>
  <c r="K40" i="2" s="1"/>
  <c r="F40" i="2" a="1"/>
  <c r="F40" i="2"/>
  <c r="G40" i="2" a="1"/>
  <c r="G40" i="2" s="1"/>
  <c r="H40" i="2"/>
  <c r="I40" i="2"/>
  <c r="E41" i="2" a="1"/>
  <c r="E41" i="2" s="1"/>
  <c r="F41" i="2" a="1"/>
  <c r="F41" i="2" s="1"/>
  <c r="K41" i="2" s="1"/>
  <c r="G41" i="2" a="1"/>
  <c r="G41" i="2" s="1"/>
  <c r="H41" i="2"/>
  <c r="I41" i="2"/>
  <c r="E42" i="2" a="1"/>
  <c r="E42" i="2" s="1"/>
  <c r="K42" i="2" s="1"/>
  <c r="F42" i="2" a="1"/>
  <c r="F42" i="2" s="1"/>
  <c r="G42" i="2" a="1"/>
  <c r="G42" i="2"/>
  <c r="H42" i="2"/>
  <c r="I42" i="2"/>
  <c r="E43" i="2" a="1"/>
  <c r="E43" i="2" s="1"/>
  <c r="F43" i="2" a="1"/>
  <c r="F43" i="2" s="1"/>
  <c r="G43" i="2" a="1"/>
  <c r="G43" i="2" s="1"/>
  <c r="H43" i="2"/>
  <c r="I43" i="2"/>
  <c r="E44" i="2" a="1"/>
  <c r="E44" i="2" s="1"/>
  <c r="K44" i="2" s="1"/>
  <c r="F44" i="2" a="1"/>
  <c r="F44" i="2" s="1"/>
  <c r="G44" i="2" a="1"/>
  <c r="G44" i="2" s="1"/>
  <c r="H44" i="2"/>
  <c r="I44" i="2"/>
  <c r="J44" i="2" s="1"/>
  <c r="E45" i="2" a="1"/>
  <c r="E45" i="2" s="1"/>
  <c r="F45" i="2" a="1"/>
  <c r="F45" i="2" s="1"/>
  <c r="K45" i="2" s="1"/>
  <c r="G45" i="2" a="1"/>
  <c r="G45" i="2" s="1"/>
  <c r="H45" i="2"/>
  <c r="I45" i="2"/>
  <c r="J45" i="2"/>
  <c r="E46" i="2" a="1"/>
  <c r="E46" i="2"/>
  <c r="F46" i="2" a="1"/>
  <c r="F46" i="2" s="1"/>
  <c r="G46" i="2" a="1"/>
  <c r="G46" i="2"/>
  <c r="H46" i="2"/>
  <c r="I46" i="2"/>
  <c r="E47" i="2" a="1"/>
  <c r="E47" i="2"/>
  <c r="F47" i="2" a="1"/>
  <c r="F47" i="2" s="1"/>
  <c r="G47" i="2" a="1"/>
  <c r="G47" i="2" s="1"/>
  <c r="H47" i="2"/>
  <c r="I47" i="2"/>
  <c r="E48" i="2" a="1"/>
  <c r="E48" i="2" s="1"/>
  <c r="K48" i="2" s="1"/>
  <c r="F48" i="2" a="1"/>
  <c r="F48" i="2" s="1"/>
  <c r="G48" i="2" a="1"/>
  <c r="G48" i="2"/>
  <c r="H48" i="2"/>
  <c r="I48" i="2"/>
  <c r="E49" i="2" a="1"/>
  <c r="E49" i="2" s="1"/>
  <c r="F49" i="2" a="1"/>
  <c r="F49" i="2" s="1"/>
  <c r="G49" i="2" a="1"/>
  <c r="G49" i="2" s="1"/>
  <c r="H49" i="2"/>
  <c r="I49" i="2"/>
  <c r="E50" i="2" a="1"/>
  <c r="E50" i="2" s="1"/>
  <c r="F50" i="2" a="1"/>
  <c r="F50" i="2" s="1"/>
  <c r="G50" i="2" a="1"/>
  <c r="G50" i="2" s="1"/>
  <c r="H50" i="2"/>
  <c r="I50" i="2"/>
  <c r="E51" i="2" a="1"/>
  <c r="E51" i="2" s="1"/>
  <c r="F51" i="2" a="1"/>
  <c r="F51" i="2" s="1"/>
  <c r="G51" i="2" a="1"/>
  <c r="G51" i="2" s="1"/>
  <c r="H51" i="2"/>
  <c r="I51" i="2"/>
  <c r="E52" i="2" a="1"/>
  <c r="E52" i="2" s="1"/>
  <c r="F52" i="2" a="1"/>
  <c r="F52" i="2" s="1"/>
  <c r="G52" i="2" a="1"/>
  <c r="G52" i="2" s="1"/>
  <c r="H52" i="2"/>
  <c r="I52" i="2"/>
  <c r="E53" i="2" a="1"/>
  <c r="E53" i="2"/>
  <c r="F53" i="2" a="1"/>
  <c r="F53" i="2" s="1"/>
  <c r="G53" i="2" a="1"/>
  <c r="G53" i="2" s="1"/>
  <c r="H53" i="2"/>
  <c r="I53" i="2"/>
  <c r="E54" i="2" a="1"/>
  <c r="E54" i="2"/>
  <c r="K54" i="2" s="1"/>
  <c r="F54" i="2" a="1"/>
  <c r="F54" i="2" s="1"/>
  <c r="G54" i="2" a="1"/>
  <c r="G54" i="2" s="1"/>
  <c r="H54" i="2"/>
  <c r="I54" i="2"/>
  <c r="J54" i="2"/>
  <c r="E55" i="2" a="1"/>
  <c r="E55" i="2" s="1"/>
  <c r="F55" i="2" a="1"/>
  <c r="F55" i="2"/>
  <c r="K55" i="2" s="1"/>
  <c r="G55" i="2" a="1"/>
  <c r="G55" i="2" s="1"/>
  <c r="H55" i="2"/>
  <c r="I55" i="2"/>
  <c r="J55" i="2" s="1"/>
  <c r="E56" i="2" a="1"/>
  <c r="E56" i="2" s="1"/>
  <c r="K56" i="2" s="1"/>
  <c r="F56" i="2" a="1"/>
  <c r="F56" i="2"/>
  <c r="G56" i="2" a="1"/>
  <c r="G56" i="2" s="1"/>
  <c r="H56" i="2"/>
  <c r="I56" i="2"/>
  <c r="J56" i="2" s="1"/>
  <c r="E57" i="2" a="1"/>
  <c r="E57" i="2" s="1"/>
  <c r="F57" i="2" a="1"/>
  <c r="F57" i="2" s="1"/>
  <c r="K57" i="2" s="1"/>
  <c r="G57" i="2" a="1"/>
  <c r="G57" i="2" s="1"/>
  <c r="H57" i="2"/>
  <c r="I57" i="2"/>
  <c r="J57" i="2"/>
  <c r="E58" i="2" a="1"/>
  <c r="E58" i="2" s="1"/>
  <c r="F58" i="2" a="1"/>
  <c r="F58" i="2" s="1"/>
  <c r="G58" i="2" a="1"/>
  <c r="G58" i="2" s="1"/>
  <c r="H58" i="2"/>
  <c r="I58" i="2"/>
  <c r="E59" i="2" a="1"/>
  <c r="E59" i="2" s="1"/>
  <c r="F59" i="2" a="1"/>
  <c r="F59" i="2" s="1"/>
  <c r="G59" i="2" a="1"/>
  <c r="G59" i="2" s="1"/>
  <c r="H59" i="2"/>
  <c r="I59" i="2"/>
  <c r="E60" i="2" a="1"/>
  <c r="E60" i="2" s="1"/>
  <c r="F60" i="2" a="1"/>
  <c r="F60" i="2" s="1"/>
  <c r="G60" i="2" a="1"/>
  <c r="G60" i="2" s="1"/>
  <c r="H60" i="2"/>
  <c r="I60" i="2"/>
  <c r="E61" i="2" a="1"/>
  <c r="E61" i="2" s="1"/>
  <c r="F61" i="2" a="1"/>
  <c r="F61" i="2" s="1"/>
  <c r="G61" i="2" a="1"/>
  <c r="G61" i="2" s="1"/>
  <c r="H61" i="2"/>
  <c r="I61" i="2"/>
  <c r="E62" i="2" a="1"/>
  <c r="E62" i="2" s="1"/>
  <c r="F62" i="2" a="1"/>
  <c r="F62" i="2" s="1"/>
  <c r="G62" i="2" a="1"/>
  <c r="G62" i="2" s="1"/>
  <c r="H62" i="2"/>
  <c r="I62" i="2"/>
  <c r="E63" i="2" a="1"/>
  <c r="E63" i="2" s="1"/>
  <c r="F63" i="2" a="1"/>
  <c r="F63" i="2" s="1"/>
  <c r="G63" i="2" a="1"/>
  <c r="G63" i="2" s="1"/>
  <c r="H63" i="2"/>
  <c r="I63" i="2"/>
  <c r="E64" i="2" a="1"/>
  <c r="E64" i="2" s="1"/>
  <c r="K64" i="2" s="1"/>
  <c r="F64" i="2" a="1"/>
  <c r="F64" i="2" s="1"/>
  <c r="G64" i="2" a="1"/>
  <c r="G64" i="2" s="1"/>
  <c r="H64" i="2"/>
  <c r="I64" i="2"/>
  <c r="E65" i="2" a="1"/>
  <c r="E65" i="2"/>
  <c r="F65" i="2" a="1"/>
  <c r="F65" i="2" s="1"/>
  <c r="G65" i="2" a="1"/>
  <c r="G65" i="2" s="1"/>
  <c r="H65" i="2"/>
  <c r="I65" i="2"/>
  <c r="E66" i="2" a="1"/>
  <c r="E66" i="2" s="1"/>
  <c r="F66" i="2" a="1"/>
  <c r="F66" i="2" s="1"/>
  <c r="G66" i="2" a="1"/>
  <c r="G66" i="2"/>
  <c r="H66" i="2"/>
  <c r="I66" i="2"/>
  <c r="E67" i="2" a="1"/>
  <c r="E67" i="2" s="1"/>
  <c r="F67" i="2" a="1"/>
  <c r="F67" i="2" s="1"/>
  <c r="G67" i="2" a="1"/>
  <c r="G67" i="2" s="1"/>
  <c r="H67" i="2"/>
  <c r="I67" i="2"/>
  <c r="E68" i="2" a="1"/>
  <c r="E68" i="2" s="1"/>
  <c r="F68" i="2" a="1"/>
  <c r="F68" i="2" s="1"/>
  <c r="G68" i="2" a="1"/>
  <c r="G68" i="2"/>
  <c r="H68" i="2"/>
  <c r="I68" i="2"/>
  <c r="E69" i="2" a="1"/>
  <c r="E69" i="2" s="1"/>
  <c r="F69" i="2" a="1"/>
  <c r="F69" i="2" s="1"/>
  <c r="G69" i="2" a="1"/>
  <c r="G69" i="2"/>
  <c r="H69" i="2"/>
  <c r="I69" i="2"/>
  <c r="E70" i="2" a="1"/>
  <c r="E70" i="2" s="1"/>
  <c r="F70" i="2" a="1"/>
  <c r="F70" i="2" s="1"/>
  <c r="G70" i="2" a="1"/>
  <c r="G70" i="2" s="1"/>
  <c r="H70" i="2"/>
  <c r="I70" i="2"/>
  <c r="E71" i="2" a="1"/>
  <c r="E71" i="2"/>
  <c r="F71" i="2" a="1"/>
  <c r="F71" i="2" s="1"/>
  <c r="K71" i="2" s="1"/>
  <c r="G71" i="2" a="1"/>
  <c r="G71" i="2" s="1"/>
  <c r="H71" i="2"/>
  <c r="I71" i="2"/>
  <c r="E72" i="2" a="1"/>
  <c r="E72" i="2" s="1"/>
  <c r="K72" i="2" s="1"/>
  <c r="F72" i="2" a="1"/>
  <c r="F72" i="2" s="1"/>
  <c r="G72" i="2" a="1"/>
  <c r="G72" i="2" s="1"/>
  <c r="H72" i="2"/>
  <c r="I72" i="2"/>
  <c r="J72" i="2"/>
  <c r="E73" i="2" a="1"/>
  <c r="E73" i="2" s="1"/>
  <c r="F73" i="2" a="1"/>
  <c r="F73" i="2" s="1"/>
  <c r="K73" i="2" s="1"/>
  <c r="G73" i="2" a="1"/>
  <c r="G73" i="2" s="1"/>
  <c r="H73" i="2"/>
  <c r="I73" i="2"/>
  <c r="J73" i="2" s="1"/>
  <c r="E74" i="2" a="1"/>
  <c r="E74" i="2" s="1"/>
  <c r="F74" i="2" a="1"/>
  <c r="F74" i="2" s="1"/>
  <c r="G74" i="2" a="1"/>
  <c r="G74" i="2"/>
  <c r="H74" i="2"/>
  <c r="I74" i="2"/>
  <c r="E75" i="2" a="1"/>
  <c r="E75" i="2" s="1"/>
  <c r="F75" i="2" a="1"/>
  <c r="F75" i="2" s="1"/>
  <c r="G75" i="2" a="1"/>
  <c r="G75" i="2" s="1"/>
  <c r="H75" i="2"/>
  <c r="I75" i="2"/>
  <c r="E76" i="2" a="1"/>
  <c r="E76" i="2" s="1"/>
  <c r="F76" i="2" a="1"/>
  <c r="F76" i="2" s="1"/>
  <c r="G76" i="2" a="1"/>
  <c r="G76" i="2" s="1"/>
  <c r="H76" i="2"/>
  <c r="I76" i="2"/>
  <c r="E77" i="2" a="1"/>
  <c r="E77" i="2"/>
  <c r="F77" i="2" a="1"/>
  <c r="F77" i="2" s="1"/>
  <c r="G77" i="2" a="1"/>
  <c r="G77" i="2" s="1"/>
  <c r="H77" i="2"/>
  <c r="I77" i="2"/>
  <c r="E78" i="2" a="1"/>
  <c r="E78" i="2" s="1"/>
  <c r="K78" i="2" s="1"/>
  <c r="F78" i="2" a="1"/>
  <c r="F78" i="2" s="1"/>
  <c r="G78" i="2" a="1"/>
  <c r="G78" i="2"/>
  <c r="H78" i="2"/>
  <c r="I78" i="2"/>
  <c r="E79" i="2" a="1"/>
  <c r="E79" i="2" s="1"/>
  <c r="F79" i="2" a="1"/>
  <c r="F79" i="2" s="1"/>
  <c r="K79" i="2" s="1"/>
  <c r="G79" i="2" a="1"/>
  <c r="G79" i="2" s="1"/>
  <c r="H79" i="2"/>
  <c r="I79" i="2"/>
  <c r="E80" i="2" a="1"/>
  <c r="E80" i="2" s="1"/>
  <c r="F80" i="2" a="1"/>
  <c r="F80" i="2" s="1"/>
  <c r="G80" i="2" a="1"/>
  <c r="G80" i="2" s="1"/>
  <c r="H80" i="2"/>
  <c r="I80" i="2"/>
  <c r="E81" i="2" a="1"/>
  <c r="E81" i="2" s="1"/>
  <c r="F81" i="2" a="1"/>
  <c r="F81" i="2" s="1"/>
  <c r="K81" i="2" s="1"/>
  <c r="G81" i="2" a="1"/>
  <c r="G81" i="2" s="1"/>
  <c r="H81" i="2"/>
  <c r="I81" i="2"/>
  <c r="E82" i="2" a="1"/>
  <c r="E82" i="2" s="1"/>
  <c r="K82" i="2" s="1"/>
  <c r="F82" i="2" a="1"/>
  <c r="F82" i="2" s="1"/>
  <c r="G82" i="2" a="1"/>
  <c r="G82" i="2" s="1"/>
  <c r="H82" i="2"/>
  <c r="I82" i="2"/>
  <c r="J82" i="2" s="1"/>
  <c r="E83" i="2" a="1"/>
  <c r="E83" i="2" s="1"/>
  <c r="F83" i="2" a="1"/>
  <c r="F83" i="2"/>
  <c r="K83" i="2" s="1"/>
  <c r="M83" i="2" s="1"/>
  <c r="G83" i="2" a="1"/>
  <c r="G83" i="2" s="1"/>
  <c r="H83" i="2"/>
  <c r="I83" i="2"/>
  <c r="J83" i="2" s="1"/>
  <c r="E84" i="2" a="1"/>
  <c r="E84" i="2" s="1"/>
  <c r="F84" i="2" a="1"/>
  <c r="F84" i="2" s="1"/>
  <c r="G84" i="2" a="1"/>
  <c r="G84" i="2"/>
  <c r="H84" i="2"/>
  <c r="I84" i="2"/>
  <c r="E85" i="2" a="1"/>
  <c r="E85" i="2" s="1"/>
  <c r="F85" i="2" a="1"/>
  <c r="F85" i="2" s="1"/>
  <c r="G85" i="2" a="1"/>
  <c r="G85" i="2" s="1"/>
  <c r="H85" i="2"/>
  <c r="I85" i="2"/>
  <c r="E86" i="2" a="1"/>
  <c r="E86" i="2" s="1"/>
  <c r="F86" i="2" a="1"/>
  <c r="F86" i="2" s="1"/>
  <c r="G86" i="2" a="1"/>
  <c r="G86" i="2" s="1"/>
  <c r="H86" i="2"/>
  <c r="I86" i="2"/>
  <c r="E87" i="2" a="1"/>
  <c r="E87" i="2" s="1"/>
  <c r="F87" i="2" a="1"/>
  <c r="F87" i="2" s="1"/>
  <c r="G87" i="2" a="1"/>
  <c r="G87" i="2"/>
  <c r="H87" i="2"/>
  <c r="I87" i="2"/>
  <c r="E88" i="2" a="1"/>
  <c r="E88" i="2"/>
  <c r="F88" i="2" a="1"/>
  <c r="F88" i="2" s="1"/>
  <c r="G88" i="2" a="1"/>
  <c r="G88" i="2" s="1"/>
  <c r="H88" i="2"/>
  <c r="I88" i="2"/>
  <c r="E89" i="2" a="1"/>
  <c r="E89" i="2" s="1"/>
  <c r="F89" i="2" a="1"/>
  <c r="F89" i="2" s="1"/>
  <c r="G89" i="2" a="1"/>
  <c r="G89" i="2" s="1"/>
  <c r="H89" i="2"/>
  <c r="I89" i="2"/>
  <c r="E90" i="2" a="1"/>
  <c r="E90" i="2" s="1"/>
  <c r="F90" i="2" a="1"/>
  <c r="F90" i="2" s="1"/>
  <c r="G90" i="2" a="1"/>
  <c r="G90" i="2"/>
  <c r="H90" i="2"/>
  <c r="I90" i="2"/>
  <c r="E91" i="2" a="1"/>
  <c r="E91" i="2" s="1"/>
  <c r="F91" i="2" a="1"/>
  <c r="F91" i="2" s="1"/>
  <c r="G91" i="2" a="1"/>
  <c r="G91" i="2" s="1"/>
  <c r="H91" i="2"/>
  <c r="I91" i="2"/>
  <c r="E92" i="2" a="1"/>
  <c r="E92" i="2" s="1"/>
  <c r="K92" i="2" s="1"/>
  <c r="F92" i="2" a="1"/>
  <c r="F92" i="2" s="1"/>
  <c r="G92" i="2" a="1"/>
  <c r="G92" i="2" s="1"/>
  <c r="H92" i="2"/>
  <c r="I92" i="2"/>
  <c r="J92" i="2" s="1"/>
  <c r="E93" i="2" a="1"/>
  <c r="E93" i="2" s="1"/>
  <c r="F93" i="2" a="1"/>
  <c r="F93" i="2" s="1"/>
  <c r="K93" i="2" s="1"/>
  <c r="G93" i="2" a="1"/>
  <c r="G93" i="2"/>
  <c r="H93" i="2"/>
  <c r="I93" i="2"/>
  <c r="J93" i="2"/>
  <c r="E94" i="2" a="1"/>
  <c r="E94" i="2" s="1"/>
  <c r="F94" i="2" a="1"/>
  <c r="F94" i="2"/>
  <c r="G94" i="2" a="1"/>
  <c r="G94" i="2" s="1"/>
  <c r="H94" i="2"/>
  <c r="I94" i="2"/>
  <c r="E95" i="2" a="1"/>
  <c r="E95" i="2"/>
  <c r="F95" i="2" a="1"/>
  <c r="F95" i="2" s="1"/>
  <c r="G95" i="2" a="1"/>
  <c r="G95" i="2" s="1"/>
  <c r="H95" i="2"/>
  <c r="I95" i="2"/>
  <c r="E96" i="2" a="1"/>
  <c r="E96" i="2" s="1"/>
  <c r="F96" i="2" a="1"/>
  <c r="F96" i="2" s="1"/>
  <c r="G96" i="2" a="1"/>
  <c r="G96" i="2" s="1"/>
  <c r="H96" i="2"/>
  <c r="I96" i="2"/>
  <c r="E97" i="2" a="1"/>
  <c r="E97" i="2" s="1"/>
  <c r="F97" i="2" a="1"/>
  <c r="F97" i="2"/>
  <c r="G97" i="2" a="1"/>
  <c r="G97" i="2" s="1"/>
  <c r="H97" i="2"/>
  <c r="I97" i="2"/>
  <c r="E98" i="2" a="1"/>
  <c r="E98" i="2" s="1"/>
  <c r="F98" i="2" a="1"/>
  <c r="F98" i="2" s="1"/>
  <c r="G98" i="2" a="1"/>
  <c r="G98" i="2" s="1"/>
  <c r="H98" i="2"/>
  <c r="I98" i="2"/>
  <c r="E99" i="2" a="1"/>
  <c r="E99" i="2" s="1"/>
  <c r="F99" i="2" a="1"/>
  <c r="F99" i="2" s="1"/>
  <c r="K99" i="2" s="1"/>
  <c r="G99" i="2" a="1"/>
  <c r="G99" i="2" s="1"/>
  <c r="H99" i="2"/>
  <c r="I99" i="2"/>
  <c r="E100" i="2" a="1"/>
  <c r="E100" i="2" s="1"/>
  <c r="F100" i="2" a="1"/>
  <c r="F100" i="2" s="1"/>
  <c r="G100" i="2" a="1"/>
  <c r="G100" i="2" s="1"/>
  <c r="H100" i="2"/>
  <c r="I100" i="2"/>
  <c r="E101" i="2" a="1"/>
  <c r="E101" i="2" s="1"/>
  <c r="F101" i="2" a="1"/>
  <c r="F101" i="2" s="1"/>
  <c r="G101" i="2" a="1"/>
  <c r="G101" i="2" s="1"/>
  <c r="H101" i="2"/>
  <c r="I101" i="2"/>
  <c r="E102" i="2" a="1"/>
  <c r="E102" i="2" s="1"/>
  <c r="F102" i="2" a="1"/>
  <c r="F102" i="2" s="1"/>
  <c r="G102" i="2" a="1"/>
  <c r="G102" i="2" s="1"/>
  <c r="H102" i="2"/>
  <c r="I102" i="2"/>
  <c r="E103" i="2" a="1"/>
  <c r="E103" i="2" s="1"/>
  <c r="F103" i="2" a="1"/>
  <c r="F103" i="2" s="1"/>
  <c r="G103" i="2" a="1"/>
  <c r="G103" i="2" s="1"/>
  <c r="H103" i="2"/>
  <c r="I103" i="2"/>
  <c r="E104" i="2" a="1"/>
  <c r="E104" i="2"/>
  <c r="K104" i="2" s="1"/>
  <c r="F104" i="2" a="1"/>
  <c r="F104" i="2" s="1"/>
  <c r="G104" i="2" a="1"/>
  <c r="G104" i="2" s="1"/>
  <c r="H104" i="2"/>
  <c r="I104" i="2"/>
  <c r="E105" i="2" a="1"/>
  <c r="E105" i="2" s="1"/>
  <c r="F105" i="2" a="1"/>
  <c r="F105" i="2" s="1"/>
  <c r="G105" i="2" a="1"/>
  <c r="G105" i="2" s="1"/>
  <c r="H105" i="2"/>
  <c r="I105" i="2"/>
  <c r="E106" i="2" a="1"/>
  <c r="E106" i="2" s="1"/>
  <c r="K106" i="2" s="1"/>
  <c r="F106" i="2" a="1"/>
  <c r="F106" i="2" s="1"/>
  <c r="G106" i="2" a="1"/>
  <c r="G106" i="2" s="1"/>
  <c r="H106" i="2"/>
  <c r="I106" i="2"/>
  <c r="J106" i="2" s="1"/>
  <c r="E107" i="2" a="1"/>
  <c r="E107" i="2"/>
  <c r="F107" i="2" a="1"/>
  <c r="F107" i="2" s="1"/>
  <c r="K107" i="2" s="1"/>
  <c r="G107" i="2" a="1"/>
  <c r="G107" i="2" s="1"/>
  <c r="H107" i="2"/>
  <c r="I107" i="2"/>
  <c r="J107" i="2" s="1"/>
  <c r="E108" i="2" a="1"/>
  <c r="E108" i="2" s="1"/>
  <c r="K108" i="2" s="1"/>
  <c r="F108" i="2" a="1"/>
  <c r="F108" i="2"/>
  <c r="G108" i="2" a="1"/>
  <c r="G108" i="2" s="1"/>
  <c r="H108" i="2"/>
  <c r="I108" i="2"/>
  <c r="E109" i="2" a="1"/>
  <c r="E109" i="2" s="1"/>
  <c r="F109" i="2" a="1"/>
  <c r="F109" i="2"/>
  <c r="K109" i="2" s="1"/>
  <c r="G109" i="2" a="1"/>
  <c r="G109" i="2" s="1"/>
  <c r="H109" i="2"/>
  <c r="I109" i="2"/>
  <c r="E110" i="2" a="1"/>
  <c r="E110" i="2" s="1"/>
  <c r="F110" i="2" a="1"/>
  <c r="F110" i="2" s="1"/>
  <c r="G110" i="2" a="1"/>
  <c r="G110" i="2" s="1"/>
  <c r="H110" i="2"/>
  <c r="I110" i="2"/>
  <c r="E111" i="2" a="1"/>
  <c r="E111" i="2" s="1"/>
  <c r="F111" i="2" a="1"/>
  <c r="F111" i="2" s="1"/>
  <c r="G111" i="2" a="1"/>
  <c r="G111" i="2"/>
  <c r="H111" i="2"/>
  <c r="I111" i="2"/>
  <c r="E112" i="2" a="1"/>
  <c r="E112" i="2"/>
  <c r="K112" i="2" s="1"/>
  <c r="F112" i="2" a="1"/>
  <c r="F112" i="2" s="1"/>
  <c r="G112" i="2" a="1"/>
  <c r="G112" i="2" s="1"/>
  <c r="H112" i="2"/>
  <c r="I112" i="2"/>
  <c r="J112" i="2"/>
  <c r="E113" i="2" a="1"/>
  <c r="E113" i="2"/>
  <c r="F113" i="2" a="1"/>
  <c r="F113" i="2" s="1"/>
  <c r="K113" i="2" s="1"/>
  <c r="G113" i="2" a="1"/>
  <c r="G113" i="2" s="1"/>
  <c r="H113" i="2"/>
  <c r="I113" i="2"/>
  <c r="J113" i="2"/>
  <c r="E114" i="2" a="1"/>
  <c r="E114" i="2" s="1"/>
  <c r="F114" i="2" a="1"/>
  <c r="F114" i="2"/>
  <c r="G114" i="2" a="1"/>
  <c r="G114" i="2" s="1"/>
  <c r="H114" i="2"/>
  <c r="I114" i="2"/>
  <c r="E115" i="2" a="1"/>
  <c r="E115" i="2" s="1"/>
  <c r="F115" i="2" a="1"/>
  <c r="F115" i="2"/>
  <c r="G115" i="2" a="1"/>
  <c r="G115" i="2" s="1"/>
  <c r="H115" i="2"/>
  <c r="I115" i="2"/>
  <c r="E116" i="2" a="1"/>
  <c r="E116" i="2" s="1"/>
  <c r="F116" i="2" a="1"/>
  <c r="F116" i="2" s="1"/>
  <c r="G116" i="2" a="1"/>
  <c r="G116" i="2" s="1"/>
  <c r="H116" i="2"/>
  <c r="I116" i="2"/>
  <c r="E117" i="2" a="1"/>
  <c r="E117" i="2" s="1"/>
  <c r="F117" i="2" a="1"/>
  <c r="F117" i="2" s="1"/>
  <c r="G117" i="2" a="1"/>
  <c r="G117" i="2" s="1"/>
  <c r="H117" i="2"/>
  <c r="I117" i="2"/>
  <c r="E118" i="2" a="1"/>
  <c r="E118" i="2" s="1"/>
  <c r="K118" i="2" s="1"/>
  <c r="F118" i="2" a="1"/>
  <c r="F118" i="2" s="1"/>
  <c r="G118" i="2" a="1"/>
  <c r="G118" i="2" s="1"/>
  <c r="H118" i="2"/>
  <c r="I118" i="2"/>
  <c r="J118" i="2" s="1"/>
  <c r="E119" i="2" a="1"/>
  <c r="E119" i="2"/>
  <c r="F119" i="2" a="1"/>
  <c r="F119" i="2" s="1"/>
  <c r="K119" i="2" s="1"/>
  <c r="G119" i="2" a="1"/>
  <c r="G119" i="2" s="1"/>
  <c r="H119" i="2"/>
  <c r="I119" i="2"/>
  <c r="J119" i="2"/>
  <c r="E120" i="2" a="1"/>
  <c r="E120" i="2" s="1"/>
  <c r="K120" i="2" s="1"/>
  <c r="F120" i="2" a="1"/>
  <c r="F120" i="2"/>
  <c r="G120" i="2" a="1"/>
  <c r="G120" i="2" s="1"/>
  <c r="H120" i="2"/>
  <c r="I120" i="2"/>
  <c r="J120" i="2"/>
  <c r="E121" i="2" a="1"/>
  <c r="E121" i="2" s="1"/>
  <c r="F121" i="2" a="1"/>
  <c r="F121" i="2"/>
  <c r="G121" i="2" a="1"/>
  <c r="G121" i="2" s="1"/>
  <c r="H121" i="2"/>
  <c r="I121" i="2"/>
  <c r="J121" i="2" s="1"/>
  <c r="K121" i="2"/>
  <c r="M121" i="2" s="1"/>
  <c r="E122" i="2" a="1"/>
  <c r="E122" i="2" s="1"/>
  <c r="K122" i="2" s="1"/>
  <c r="F122" i="2" a="1"/>
  <c r="F122" i="2" s="1"/>
  <c r="G122" i="2" a="1"/>
  <c r="G122" i="2" s="1"/>
  <c r="H122" i="2"/>
  <c r="I122" i="2"/>
  <c r="E123" i="2" a="1"/>
  <c r="E123" i="2" s="1"/>
  <c r="F123" i="2" a="1"/>
  <c r="F123" i="2" s="1"/>
  <c r="G123" i="2" a="1"/>
  <c r="G123" i="2"/>
  <c r="H123" i="2"/>
  <c r="I123" i="2"/>
  <c r="E124" i="2" a="1"/>
  <c r="E124" i="2" s="1"/>
  <c r="K124" i="2" s="1"/>
  <c r="F124" i="2" a="1"/>
  <c r="F124" i="2" s="1"/>
  <c r="G124" i="2" a="1"/>
  <c r="G124" i="2" s="1"/>
  <c r="H124" i="2"/>
  <c r="I124" i="2"/>
  <c r="E125" i="2" a="1"/>
  <c r="E125" i="2" s="1"/>
  <c r="F125" i="2" a="1"/>
  <c r="F125" i="2" s="1"/>
  <c r="G125" i="2" a="1"/>
  <c r="G125" i="2" s="1"/>
  <c r="H125" i="2"/>
  <c r="I125" i="2"/>
  <c r="E126" i="2" a="1"/>
  <c r="E126" i="2" s="1"/>
  <c r="K126" i="2" s="1"/>
  <c r="F126" i="2" a="1"/>
  <c r="F126" i="2" s="1"/>
  <c r="G126" i="2" a="1"/>
  <c r="G126" i="2"/>
  <c r="H126" i="2"/>
  <c r="I126" i="2"/>
  <c r="E127" i="2" a="1"/>
  <c r="E127" i="2" s="1"/>
  <c r="F127" i="2" a="1"/>
  <c r="F127" i="2" s="1"/>
  <c r="G127" i="2" a="1"/>
  <c r="G127" i="2" s="1"/>
  <c r="H127" i="2"/>
  <c r="I127" i="2"/>
  <c r="E128" i="2" a="1"/>
  <c r="E128" i="2" s="1"/>
  <c r="K128" i="2" s="1"/>
  <c r="F128" i="2" a="1"/>
  <c r="F128" i="2" s="1"/>
  <c r="G128" i="2" a="1"/>
  <c r="G128" i="2" s="1"/>
  <c r="H128" i="2"/>
  <c r="I128" i="2"/>
  <c r="J128" i="2" s="1"/>
  <c r="E129" i="2" a="1"/>
  <c r="E129" i="2"/>
  <c r="F129" i="2" a="1"/>
  <c r="F129" i="2" s="1"/>
  <c r="K129" i="2" s="1"/>
  <c r="G129" i="2" a="1"/>
  <c r="G129" i="2" s="1"/>
  <c r="H129" i="2"/>
  <c r="I129" i="2"/>
  <c r="J129" i="2"/>
  <c r="E130" i="2" a="1"/>
  <c r="E130" i="2"/>
  <c r="K130" i="2" s="1"/>
  <c r="F130" i="2" a="1"/>
  <c r="F130" i="2" s="1"/>
  <c r="G130" i="2" a="1"/>
  <c r="G130" i="2" s="1"/>
  <c r="H130" i="2"/>
  <c r="I130" i="2"/>
  <c r="E131" i="2" a="1"/>
  <c r="E131" i="2" s="1"/>
  <c r="F131" i="2" a="1"/>
  <c r="F131" i="2"/>
  <c r="K131" i="2" s="1"/>
  <c r="G131" i="2" a="1"/>
  <c r="G131" i="2" s="1"/>
  <c r="H131" i="2"/>
  <c r="I131" i="2"/>
  <c r="E132" i="2" a="1"/>
  <c r="E132" i="2" s="1"/>
  <c r="K132" i="2" s="1"/>
  <c r="F132" i="2" a="1"/>
  <c r="F132" i="2" s="1"/>
  <c r="G132" i="2" a="1"/>
  <c r="G132" i="2" s="1"/>
  <c r="H132" i="2"/>
  <c r="I132" i="2"/>
  <c r="J132" i="2"/>
  <c r="E133" i="2" a="1"/>
  <c r="E133" i="2" s="1"/>
  <c r="F133" i="2" a="1"/>
  <c r="F133" i="2" s="1"/>
  <c r="K133" i="2" s="1"/>
  <c r="G133" i="2" a="1"/>
  <c r="G133" i="2"/>
  <c r="H133" i="2"/>
  <c r="I133" i="2"/>
  <c r="J133" i="2" s="1"/>
  <c r="E134" i="2" a="1"/>
  <c r="E134" i="2" s="1"/>
  <c r="K134" i="2" s="1"/>
  <c r="F134" i="2" a="1"/>
  <c r="F134" i="2" s="1"/>
  <c r="G134" i="2" a="1"/>
  <c r="G134" i="2" s="1"/>
  <c r="H134" i="2"/>
  <c r="I134" i="2"/>
  <c r="J134" i="2" s="1"/>
  <c r="E135" i="2" a="1"/>
  <c r="E135" i="2" s="1"/>
  <c r="F135" i="2" a="1"/>
  <c r="F135" i="2" s="1"/>
  <c r="K135" i="2" s="1"/>
  <c r="G135" i="2" a="1"/>
  <c r="G135" i="2"/>
  <c r="H135" i="2"/>
  <c r="I135" i="2"/>
  <c r="J135" i="2" s="1"/>
  <c r="E136" i="2" a="1"/>
  <c r="E136" i="2" s="1"/>
  <c r="K136" i="2" s="1"/>
  <c r="F136" i="2" a="1"/>
  <c r="F136" i="2"/>
  <c r="G136" i="2" a="1"/>
  <c r="G136" i="2" s="1"/>
  <c r="H136" i="2"/>
  <c r="I136" i="2"/>
  <c r="E137" i="2" a="1"/>
  <c r="E137" i="2" s="1"/>
  <c r="F137" i="2" a="1"/>
  <c r="F137" i="2" s="1"/>
  <c r="K137" i="2" s="1"/>
  <c r="G137" i="2" a="1"/>
  <c r="G137" i="2" s="1"/>
  <c r="H137" i="2"/>
  <c r="I137" i="2"/>
  <c r="E138" i="2" a="1"/>
  <c r="E138" i="2" s="1"/>
  <c r="K138" i="2" s="1"/>
  <c r="F138" i="2" a="1"/>
  <c r="F138" i="2" s="1"/>
  <c r="G138" i="2" a="1"/>
  <c r="G138" i="2"/>
  <c r="H138" i="2"/>
  <c r="I138" i="2"/>
  <c r="E139" i="2" a="1"/>
  <c r="E139" i="2" s="1"/>
  <c r="F139" i="2" a="1"/>
  <c r="F139" i="2" s="1"/>
  <c r="K139" i="2" s="1"/>
  <c r="G139" i="2" a="1"/>
  <c r="G139" i="2" s="1"/>
  <c r="H139" i="2"/>
  <c r="I139" i="2"/>
  <c r="E140" i="2" a="1"/>
  <c r="E140" i="2" s="1"/>
  <c r="K140" i="2" s="1"/>
  <c r="M140" i="2" s="1"/>
  <c r="F140" i="2" a="1"/>
  <c r="F140" i="2" s="1"/>
  <c r="G140" i="2" a="1"/>
  <c r="G140" i="2" s="1"/>
  <c r="H140" i="2"/>
  <c r="I140" i="2"/>
  <c r="J140" i="2" s="1"/>
  <c r="E141" i="2" a="1"/>
  <c r="E141" i="2" s="1"/>
  <c r="F141" i="2" a="1"/>
  <c r="F141" i="2" s="1"/>
  <c r="K141" i="2" s="1"/>
  <c r="G141" i="2" a="1"/>
  <c r="G141" i="2" s="1"/>
  <c r="H141" i="2"/>
  <c r="I141" i="2"/>
  <c r="J141" i="2"/>
  <c r="E142" i="2" a="1"/>
  <c r="E142" i="2" s="1"/>
  <c r="K142" i="2" s="1"/>
  <c r="F142" i="2" a="1"/>
  <c r="F142" i="2" s="1"/>
  <c r="G142" i="2" a="1"/>
  <c r="G142" i="2" s="1"/>
  <c r="H142" i="2"/>
  <c r="I142" i="2"/>
  <c r="E143" i="2" a="1"/>
  <c r="E143" i="2" s="1"/>
  <c r="F143" i="2" a="1"/>
  <c r="F143" i="2" s="1"/>
  <c r="G143" i="2" a="1"/>
  <c r="G143" i="2" s="1"/>
  <c r="H143" i="2"/>
  <c r="I143" i="2"/>
  <c r="E144" i="2" a="1"/>
  <c r="E144" i="2" s="1"/>
  <c r="K144" i="2" s="1"/>
  <c r="F144" i="2" a="1"/>
  <c r="F144" i="2" s="1"/>
  <c r="G144" i="2" a="1"/>
  <c r="G144" i="2" s="1"/>
  <c r="H144" i="2"/>
  <c r="I144" i="2"/>
  <c r="J144" i="2"/>
  <c r="E145" i="2" a="1"/>
  <c r="E145" i="2" s="1"/>
  <c r="F145" i="2" a="1"/>
  <c r="F145" i="2" s="1"/>
  <c r="K145" i="2" s="1"/>
  <c r="G145" i="2" a="1"/>
  <c r="G145" i="2" s="1"/>
  <c r="H145" i="2"/>
  <c r="I145" i="2"/>
  <c r="J145" i="2" s="1"/>
  <c r="E146" i="2" a="1"/>
  <c r="E146" i="2" s="1"/>
  <c r="K146" i="2" s="1"/>
  <c r="F146" i="2" a="1"/>
  <c r="F146" i="2" s="1"/>
  <c r="G146" i="2" a="1"/>
  <c r="G146" i="2"/>
  <c r="H146" i="2"/>
  <c r="I146" i="2"/>
  <c r="J146" i="2" s="1"/>
  <c r="E147" i="2" a="1"/>
  <c r="E147" i="2" s="1"/>
  <c r="F147" i="2" a="1"/>
  <c r="F147" i="2" s="1"/>
  <c r="K147" i="2" s="1"/>
  <c r="G147" i="2" a="1"/>
  <c r="G147" i="2"/>
  <c r="H147" i="2"/>
  <c r="I147" i="2"/>
  <c r="J147" i="2" s="1"/>
  <c r="E148" i="2" a="1"/>
  <c r="E148" i="2" s="1"/>
  <c r="K148" i="2" s="1"/>
  <c r="F148" i="2" a="1"/>
  <c r="F148" i="2" s="1"/>
  <c r="G148" i="2" a="1"/>
  <c r="G148" i="2" s="1"/>
  <c r="H148" i="2"/>
  <c r="I148" i="2"/>
  <c r="J148" i="2" s="1"/>
  <c r="E149" i="2" a="1"/>
  <c r="E149" i="2" s="1"/>
  <c r="F149" i="2" a="1"/>
  <c r="F149" i="2" s="1"/>
  <c r="K149" i="2" s="1"/>
  <c r="G149" i="2" a="1"/>
  <c r="G149" i="2" s="1"/>
  <c r="H149" i="2"/>
  <c r="I149" i="2"/>
  <c r="J149" i="2"/>
  <c r="E150" i="2" a="1"/>
  <c r="E150" i="2" s="1"/>
  <c r="K150" i="2" s="1"/>
  <c r="F150" i="2" a="1"/>
  <c r="F150" i="2" s="1"/>
  <c r="G150" i="2" a="1"/>
  <c r="G150" i="2"/>
  <c r="H150" i="2"/>
  <c r="I150" i="2"/>
  <c r="J150" i="2"/>
  <c r="E151" i="2" a="1"/>
  <c r="E151" i="2" s="1"/>
  <c r="F151" i="2" a="1"/>
  <c r="F151" i="2" s="1"/>
  <c r="K151" i="2" s="1"/>
  <c r="G151" i="2" a="1"/>
  <c r="G151" i="2" s="1"/>
  <c r="H151" i="2"/>
  <c r="I151" i="2"/>
  <c r="J151" i="2" s="1"/>
  <c r="E152" i="2" a="1"/>
  <c r="E152" i="2" s="1"/>
  <c r="K152" i="2" s="1"/>
  <c r="F152" i="2" a="1"/>
  <c r="F152" i="2" s="1"/>
  <c r="G152" i="2" a="1"/>
  <c r="G152" i="2" s="1"/>
  <c r="H152" i="2"/>
  <c r="I152" i="2"/>
  <c r="J152" i="2" s="1"/>
  <c r="E153" i="2" a="1"/>
  <c r="E153" i="2" s="1"/>
  <c r="F153" i="2" a="1"/>
  <c r="F153" i="2" s="1"/>
  <c r="K153" i="2" s="1"/>
  <c r="G153" i="2" a="1"/>
  <c r="G153" i="2" s="1"/>
  <c r="H153" i="2"/>
  <c r="I153" i="2"/>
  <c r="J153" i="2"/>
  <c r="E154" i="2" a="1"/>
  <c r="E154" i="2"/>
  <c r="K154" i="2" s="1"/>
  <c r="F154" i="2" a="1"/>
  <c r="F154" i="2" s="1"/>
  <c r="G154" i="2" a="1"/>
  <c r="G154" i="2" s="1"/>
  <c r="H154" i="2"/>
  <c r="I154" i="2"/>
  <c r="J154" i="2" s="1"/>
  <c r="E155" i="2" a="1"/>
  <c r="E155" i="2" s="1"/>
  <c r="F155" i="2" a="1"/>
  <c r="F155" i="2" s="1"/>
  <c r="K155" i="2" s="1"/>
  <c r="G155" i="2" a="1"/>
  <c r="G155" i="2" s="1"/>
  <c r="H155" i="2"/>
  <c r="I155" i="2"/>
  <c r="J155" i="2" s="1"/>
  <c r="E156" i="2" a="1"/>
  <c r="E156" i="2" s="1"/>
  <c r="F156" i="2" a="1"/>
  <c r="F156" i="2" s="1"/>
  <c r="G156" i="2" a="1"/>
  <c r="G156" i="2"/>
  <c r="H156" i="2"/>
  <c r="I156" i="2"/>
  <c r="E157" i="2" a="1"/>
  <c r="E157" i="2" s="1"/>
  <c r="F157" i="2" a="1"/>
  <c r="F157" i="2" s="1"/>
  <c r="G157" i="2" a="1"/>
  <c r="G157" i="2" s="1"/>
  <c r="H157" i="2"/>
  <c r="I157" i="2"/>
  <c r="E158" i="2" a="1"/>
  <c r="E158" i="2" s="1"/>
  <c r="K158" i="2" s="1"/>
  <c r="F158" i="2" a="1"/>
  <c r="F158" i="2" s="1"/>
  <c r="G158" i="2" a="1"/>
  <c r="G158" i="2" s="1"/>
  <c r="H158" i="2"/>
  <c r="I158" i="2"/>
  <c r="E159" i="2" a="1"/>
  <c r="E159" i="2" s="1"/>
  <c r="F159" i="2" a="1"/>
  <c r="F159" i="2" s="1"/>
  <c r="G159" i="2" a="1"/>
  <c r="G159" i="2"/>
  <c r="H159" i="2"/>
  <c r="I159" i="2"/>
  <c r="E160" i="2" a="1"/>
  <c r="E160" i="2" s="1"/>
  <c r="K160" i="2" s="1"/>
  <c r="F160" i="2" a="1"/>
  <c r="F160" i="2" s="1"/>
  <c r="G160" i="2" a="1"/>
  <c r="G160" i="2" s="1"/>
  <c r="H160" i="2"/>
  <c r="I160" i="2"/>
  <c r="J160" i="2" s="1"/>
  <c r="E161" i="2" a="1"/>
  <c r="E161" i="2" s="1"/>
  <c r="F161" i="2" a="1"/>
  <c r="F161" i="2" s="1"/>
  <c r="K161" i="2" s="1"/>
  <c r="G161" i="2" a="1"/>
  <c r="G161" i="2" s="1"/>
  <c r="H161" i="2"/>
  <c r="I161" i="2"/>
  <c r="J161" i="2"/>
  <c r="E162" i="2" a="1"/>
  <c r="E162" i="2" s="1"/>
  <c r="K162" i="2" s="1"/>
  <c r="F162" i="2" a="1"/>
  <c r="F162" i="2" s="1"/>
  <c r="G162" i="2" a="1"/>
  <c r="G162" i="2"/>
  <c r="H162" i="2"/>
  <c r="I162" i="2"/>
  <c r="J162" i="2"/>
  <c r="E163" i="2" a="1"/>
  <c r="E163" i="2" s="1"/>
  <c r="F163" i="2" a="1"/>
  <c r="F163" i="2" s="1"/>
  <c r="K163" i="2" s="1"/>
  <c r="G163" i="2" a="1"/>
  <c r="G163" i="2" s="1"/>
  <c r="H163" i="2"/>
  <c r="I163" i="2"/>
  <c r="J163" i="2" s="1"/>
  <c r="E164" i="2" a="1"/>
  <c r="E164" i="2" s="1"/>
  <c r="K164" i="2" s="1"/>
  <c r="F164" i="2" a="1"/>
  <c r="F164" i="2" s="1"/>
  <c r="G164" i="2" a="1"/>
  <c r="G164" i="2" s="1"/>
  <c r="H164" i="2"/>
  <c r="I164" i="2"/>
  <c r="J164" i="2" s="1"/>
  <c r="E165" i="2" a="1"/>
  <c r="E165" i="2"/>
  <c r="F165" i="2" a="1"/>
  <c r="F165" i="2" s="1"/>
  <c r="K165" i="2" s="1"/>
  <c r="G165" i="2" a="1"/>
  <c r="G165" i="2"/>
  <c r="H165" i="2"/>
  <c r="I165" i="2"/>
  <c r="J165" i="2"/>
  <c r="E166" i="2" a="1"/>
  <c r="E166" i="2" s="1"/>
  <c r="F166" i="2" a="1"/>
  <c r="F166" i="2" s="1"/>
  <c r="G166" i="2" a="1"/>
  <c r="G166" i="2"/>
  <c r="H166" i="2"/>
  <c r="I166" i="2"/>
  <c r="J166" i="2" s="1"/>
  <c r="E167" i="2" a="1"/>
  <c r="E167" i="2"/>
  <c r="F167" i="2" a="1"/>
  <c r="F167" i="2" s="1"/>
  <c r="K167" i="2" s="1"/>
  <c r="G167" i="2" a="1"/>
  <c r="G167" i="2" s="1"/>
  <c r="H167" i="2"/>
  <c r="I167" i="2"/>
  <c r="J167" i="2" s="1"/>
  <c r="E168" i="2" a="1"/>
  <c r="E168" i="2" s="1"/>
  <c r="F168" i="2" a="1"/>
  <c r="F168" i="2" s="1"/>
  <c r="G168" i="2" a="1"/>
  <c r="G168" i="2" s="1"/>
  <c r="H168" i="2"/>
  <c r="I168" i="2"/>
  <c r="K168" i="2" s="1"/>
  <c r="J168" i="2"/>
  <c r="E169" i="2" a="1"/>
  <c r="E169" i="2" s="1"/>
  <c r="F169" i="2" a="1"/>
  <c r="F169" i="2" s="1"/>
  <c r="G169" i="2" a="1"/>
  <c r="G169" i="2"/>
  <c r="H169" i="2"/>
  <c r="I169" i="2"/>
  <c r="J169" i="2" s="1"/>
  <c r="E170" i="2" a="1"/>
  <c r="E170" i="2"/>
  <c r="K170" i="2" s="1"/>
  <c r="F170" i="2" a="1"/>
  <c r="F170" i="2" s="1"/>
  <c r="G170" i="2" a="1"/>
  <c r="G170" i="2"/>
  <c r="H170" i="2"/>
  <c r="I170" i="2"/>
  <c r="E171" i="2" a="1"/>
  <c r="E171" i="2" s="1"/>
  <c r="F171" i="2" a="1"/>
  <c r="F171" i="2" s="1"/>
  <c r="K171" i="2" s="1"/>
  <c r="G171" i="2" a="1"/>
  <c r="G171" i="2" s="1"/>
  <c r="H171" i="2"/>
  <c r="I171" i="2"/>
  <c r="E172" i="2" a="1"/>
  <c r="E172" i="2" s="1"/>
  <c r="K172" i="2" s="1"/>
  <c r="F172" i="2" a="1"/>
  <c r="F172" i="2" s="1"/>
  <c r="G172" i="2" a="1"/>
  <c r="G172" i="2" s="1"/>
  <c r="H172" i="2"/>
  <c r="I172" i="2"/>
  <c r="E173" i="2" a="1"/>
  <c r="E173" i="2" s="1"/>
  <c r="F173" i="2" a="1"/>
  <c r="F173" i="2" s="1"/>
  <c r="K173" i="2" s="1"/>
  <c r="G173" i="2" a="1"/>
  <c r="G173" i="2" s="1"/>
  <c r="H173" i="2"/>
  <c r="I173" i="2"/>
  <c r="E174" i="2" a="1"/>
  <c r="E174" i="2"/>
  <c r="K174" i="2" s="1"/>
  <c r="F174" i="2" a="1"/>
  <c r="F174" i="2" s="1"/>
  <c r="G174" i="2" a="1"/>
  <c r="G174" i="2" s="1"/>
  <c r="H174" i="2"/>
  <c r="I174" i="2"/>
  <c r="J174" i="2" s="1"/>
  <c r="E175" i="2" a="1"/>
  <c r="E175" i="2" s="1"/>
  <c r="F175" i="2" a="1"/>
  <c r="F175" i="2" s="1"/>
  <c r="K175" i="2" s="1"/>
  <c r="G175" i="2" a="1"/>
  <c r="G175" i="2"/>
  <c r="H175" i="2"/>
  <c r="I175" i="2"/>
  <c r="J175" i="2"/>
  <c r="E176" i="2" a="1"/>
  <c r="E176" i="2" s="1"/>
  <c r="K176" i="2" s="1"/>
  <c r="F176" i="2" a="1"/>
  <c r="F176" i="2"/>
  <c r="G176" i="2" a="1"/>
  <c r="G176" i="2" s="1"/>
  <c r="H176" i="2"/>
  <c r="I176" i="2"/>
  <c r="E177" i="2" a="1"/>
  <c r="E177" i="2" s="1"/>
  <c r="F177" i="2" a="1"/>
  <c r="F177" i="2" s="1"/>
  <c r="K177" i="2" s="1"/>
  <c r="G177" i="2" a="1"/>
  <c r="G177" i="2" s="1"/>
  <c r="H177" i="2"/>
  <c r="I177" i="2"/>
  <c r="E178" i="2" a="1"/>
  <c r="E178" i="2" s="1"/>
  <c r="K178" i="2" s="1"/>
  <c r="F178" i="2" a="1"/>
  <c r="F178" i="2" s="1"/>
  <c r="G178" i="2" a="1"/>
  <c r="G178" i="2"/>
  <c r="H178" i="2"/>
  <c r="I178" i="2"/>
  <c r="E179" i="2" a="1"/>
  <c r="E179" i="2" s="1"/>
  <c r="F179" i="2" a="1"/>
  <c r="F179" i="2" s="1"/>
  <c r="G179" i="2" a="1"/>
  <c r="G179" i="2" s="1"/>
  <c r="H179" i="2"/>
  <c r="I179" i="2"/>
  <c r="E180" i="2" a="1"/>
  <c r="E180" i="2" s="1"/>
  <c r="F180" i="2" a="1"/>
  <c r="F180" i="2" s="1"/>
  <c r="G180" i="2" a="1"/>
  <c r="G180" i="2" s="1"/>
  <c r="H180" i="2"/>
  <c r="I180" i="2"/>
  <c r="J180" i="2"/>
  <c r="E181" i="2" a="1"/>
  <c r="E181" i="2" s="1"/>
  <c r="F181" i="2" a="1"/>
  <c r="F181" i="2" s="1"/>
  <c r="K181" i="2" s="1"/>
  <c r="G181" i="2" a="1"/>
  <c r="G181" i="2" s="1"/>
  <c r="H181" i="2"/>
  <c r="I181" i="2"/>
  <c r="J181" i="2"/>
  <c r="J2" i="2"/>
  <c r="E2" i="2" a="1"/>
  <c r="E2" i="2" s="1"/>
  <c r="K2" i="2" s="1"/>
  <c r="F2" i="2" a="1"/>
  <c r="F2" i="2" s="1"/>
  <c r="G2" i="2" a="1"/>
  <c r="G2" i="2" s="1"/>
  <c r="H2" i="2"/>
  <c r="I2" i="2"/>
  <c r="M175" i="2" l="1"/>
  <c r="M44" i="2"/>
  <c r="M5" i="2"/>
  <c r="M3" i="2"/>
  <c r="M161" i="2"/>
  <c r="M119" i="2"/>
  <c r="M118" i="6"/>
  <c r="M148" i="2"/>
  <c r="M146" i="2"/>
  <c r="M133" i="2"/>
  <c r="M129" i="2"/>
  <c r="M129" i="6"/>
  <c r="M45" i="2"/>
  <c r="M13" i="2"/>
  <c r="M106" i="2"/>
  <c r="M151" i="2"/>
  <c r="M164" i="2"/>
  <c r="M151" i="6"/>
  <c r="M93" i="6"/>
  <c r="M154" i="6"/>
  <c r="M160" i="2"/>
  <c r="M147" i="2"/>
  <c r="M22" i="2"/>
  <c r="M162" i="2"/>
  <c r="M149" i="2"/>
  <c r="M112" i="2"/>
  <c r="M55" i="2"/>
  <c r="M155" i="2"/>
  <c r="M153" i="2"/>
  <c r="M134" i="2"/>
  <c r="M132" i="2"/>
  <c r="M128" i="2"/>
  <c r="M120" i="2"/>
  <c r="M118" i="2"/>
  <c r="M57" i="2"/>
  <c r="M8" i="2"/>
  <c r="M45" i="6"/>
  <c r="M7" i="6"/>
  <c r="M153" i="6"/>
  <c r="M141" i="2"/>
  <c r="M30" i="2"/>
  <c r="M181" i="2"/>
  <c r="M163" i="2"/>
  <c r="M113" i="2"/>
  <c r="M107" i="2"/>
  <c r="M72" i="2"/>
  <c r="M23" i="2"/>
  <c r="M10" i="2"/>
  <c r="M165" i="2"/>
  <c r="M144" i="2"/>
  <c r="M154" i="2"/>
  <c r="M37" i="2"/>
  <c r="M135" i="6"/>
  <c r="M92" i="2"/>
  <c r="M9" i="6"/>
  <c r="M31" i="6"/>
  <c r="M106" i="6"/>
  <c r="M56" i="2"/>
  <c r="M54" i="2"/>
  <c r="M9" i="2"/>
  <c r="M56" i="6"/>
  <c r="M168" i="2"/>
  <c r="M135" i="2"/>
  <c r="M174" i="2"/>
  <c r="M93" i="2"/>
  <c r="M73" i="2"/>
  <c r="M31" i="2"/>
  <c r="M11" i="2"/>
  <c r="M44" i="6"/>
  <c r="M128" i="6"/>
  <c r="M167" i="2"/>
  <c r="M7" i="2"/>
  <c r="M22" i="6"/>
  <c r="M152" i="2"/>
  <c r="M150" i="2"/>
  <c r="M2" i="2"/>
  <c r="M145" i="2"/>
  <c r="M82" i="2"/>
  <c r="M141" i="6"/>
  <c r="M147" i="6"/>
  <c r="M57" i="6"/>
  <c r="M82" i="6"/>
  <c r="M163" i="6"/>
  <c r="M36" i="2"/>
  <c r="M175" i="6"/>
  <c r="K143" i="2"/>
  <c r="K159" i="2"/>
  <c r="K127" i="2"/>
  <c r="K157" i="2"/>
  <c r="K179" i="2"/>
  <c r="K46" i="2"/>
  <c r="K76" i="2"/>
  <c r="K114" i="2"/>
  <c r="K49" i="2"/>
  <c r="K20" i="2"/>
  <c r="K103" i="2"/>
  <c r="K75" i="2"/>
  <c r="K60" i="2"/>
  <c r="K62" i="2"/>
  <c r="K94" i="2"/>
  <c r="K102" i="2"/>
  <c r="K89" i="2"/>
  <c r="K32" i="2"/>
  <c r="K101" i="2"/>
  <c r="K58" i="2"/>
  <c r="M8" i="6"/>
  <c r="M3" i="6"/>
  <c r="K180" i="2"/>
  <c r="M180" i="2" s="1"/>
  <c r="M23" i="6"/>
  <c r="M144" i="6"/>
  <c r="M113" i="6"/>
  <c r="M140" i="6"/>
  <c r="M36" i="6"/>
  <c r="M148" i="6"/>
  <c r="M152" i="6"/>
  <c r="M168" i="6"/>
  <c r="M180" i="6"/>
  <c r="M133" i="6"/>
  <c r="M150" i="6"/>
  <c r="M164" i="6"/>
  <c r="M72" i="6"/>
  <c r="M160" i="6"/>
  <c r="M162" i="6"/>
  <c r="K24" i="2"/>
  <c r="M83" i="6"/>
  <c r="M92" i="6"/>
  <c r="M119" i="6"/>
  <c r="M145" i="6"/>
  <c r="M121" i="6"/>
  <c r="K125" i="2"/>
  <c r="K123" i="2"/>
  <c r="K26" i="2"/>
  <c r="K38" i="2"/>
  <c r="K97" i="2"/>
  <c r="K156" i="2"/>
  <c r="K116" i="2"/>
  <c r="K74" i="2"/>
  <c r="K69" i="2"/>
  <c r="K67" i="2"/>
  <c r="K65" i="2"/>
  <c r="K63" i="2"/>
  <c r="K88" i="2"/>
  <c r="K21" i="2"/>
  <c r="K19" i="2"/>
  <c r="K115" i="2"/>
  <c r="K70" i="2"/>
  <c r="K117" i="2"/>
  <c r="K95" i="2"/>
  <c r="K87" i="2"/>
  <c r="K84" i="2"/>
  <c r="K59" i="2"/>
  <c r="K43" i="2"/>
  <c r="K110" i="2"/>
  <c r="K100" i="2"/>
  <c r="K68" i="2"/>
  <c r="K52" i="2"/>
  <c r="K50" i="2"/>
  <c r="K29" i="2"/>
  <c r="K98" i="2"/>
  <c r="K80" i="2"/>
  <c r="K27" i="2"/>
  <c r="K105" i="2"/>
  <c r="K90" i="2"/>
  <c r="K66" i="2"/>
  <c r="K91" i="2"/>
  <c r="K53" i="2"/>
  <c r="K34" i="2"/>
  <c r="K25" i="2"/>
  <c r="K111" i="2"/>
  <c r="K61" i="2"/>
  <c r="K96" i="2"/>
  <c r="K86" i="2"/>
  <c r="K51" i="2"/>
  <c r="K85" i="2"/>
  <c r="K77" i="2"/>
  <c r="K47" i="2"/>
  <c r="K17" i="2"/>
  <c r="K12" i="2"/>
  <c r="J12" i="2"/>
  <c r="K166" i="2"/>
  <c r="M166" i="2" s="1"/>
  <c r="K169" i="2"/>
  <c r="M169" i="2" s="1"/>
  <c r="M12" i="2" l="1"/>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2" i="4"/>
  <c r="J142" i="6" l="1"/>
  <c r="M142" i="6" s="1"/>
  <c r="J143" i="6"/>
  <c r="M143" i="6" s="1"/>
  <c r="J143" i="2"/>
  <c r="M143" i="2" s="1"/>
  <c r="J142" i="2"/>
  <c r="M142" i="2" s="1"/>
  <c r="J170" i="6"/>
  <c r="M170" i="6" s="1"/>
  <c r="J171" i="2"/>
  <c r="M171" i="2" s="1"/>
  <c r="J171" i="6"/>
  <c r="M171" i="6" s="1"/>
  <c r="J170" i="2"/>
  <c r="M170" i="2" s="1"/>
  <c r="J173" i="2"/>
  <c r="M173" i="2" s="1"/>
  <c r="J173" i="6"/>
  <c r="M173" i="6" s="1"/>
  <c r="J172" i="2"/>
  <c r="M172" i="2" s="1"/>
  <c r="J172" i="6"/>
  <c r="M172" i="6" s="1"/>
  <c r="J130" i="6"/>
  <c r="M130" i="6" s="1"/>
  <c r="J130" i="2"/>
  <c r="M130" i="2" s="1"/>
  <c r="J131" i="2"/>
  <c r="M131" i="2" s="1"/>
  <c r="J131" i="6"/>
  <c r="M131" i="6" s="1"/>
  <c r="J126" i="6"/>
  <c r="M126" i="6" s="1"/>
  <c r="J127" i="6"/>
  <c r="M127" i="6" s="1"/>
  <c r="J126" i="2"/>
  <c r="M126" i="2" s="1"/>
  <c r="J127" i="2"/>
  <c r="M127" i="2" s="1"/>
  <c r="J158" i="6"/>
  <c r="M158" i="6" s="1"/>
  <c r="J159" i="6"/>
  <c r="M159" i="6" s="1"/>
  <c r="J159" i="2"/>
  <c r="M159" i="2" s="1"/>
  <c r="J158" i="2"/>
  <c r="M158" i="2" s="1"/>
  <c r="J177" i="6"/>
  <c r="M177" i="6" s="1"/>
  <c r="J177" i="2"/>
  <c r="M177" i="2" s="1"/>
  <c r="J176" i="2"/>
  <c r="M176" i="2" s="1"/>
  <c r="J176" i="6"/>
  <c r="M176" i="6" s="1"/>
  <c r="J137" i="6"/>
  <c r="M137" i="6" s="1"/>
  <c r="J137" i="2"/>
  <c r="M137" i="2" s="1"/>
  <c r="J136" i="2"/>
  <c r="M136" i="2" s="1"/>
  <c r="J136" i="6"/>
  <c r="M136" i="6" s="1"/>
  <c r="J138" i="6"/>
  <c r="M138" i="6" s="1"/>
  <c r="J138" i="2"/>
  <c r="M138" i="2" s="1"/>
  <c r="J139" i="6"/>
  <c r="M139" i="6" s="1"/>
  <c r="J139" i="2"/>
  <c r="M139" i="2" s="1"/>
  <c r="J94" i="6"/>
  <c r="M94" i="6" s="1"/>
  <c r="J94" i="2"/>
  <c r="M94" i="2" s="1"/>
  <c r="J95" i="2"/>
  <c r="M95" i="2" s="1"/>
  <c r="J95" i="6"/>
  <c r="M95" i="6" s="1"/>
  <c r="J49" i="6"/>
  <c r="M49" i="6" s="1"/>
  <c r="J49" i="2"/>
  <c r="M49" i="2" s="1"/>
  <c r="J48" i="6"/>
  <c r="M48" i="6" s="1"/>
  <c r="J48" i="2"/>
  <c r="M48" i="2" s="1"/>
  <c r="J97" i="6"/>
  <c r="M97" i="6" s="1"/>
  <c r="J96" i="2"/>
  <c r="M96" i="2" s="1"/>
  <c r="J96" i="6"/>
  <c r="M96" i="6" s="1"/>
  <c r="J97" i="2"/>
  <c r="M97" i="2" s="1"/>
  <c r="J61" i="6"/>
  <c r="M61" i="6" s="1"/>
  <c r="J61" i="2"/>
  <c r="M61" i="2" s="1"/>
  <c r="J60" i="6"/>
  <c r="M60" i="6" s="1"/>
  <c r="J60" i="2"/>
  <c r="M60" i="2" s="1"/>
  <c r="J27" i="6"/>
  <c r="M27" i="6" s="1"/>
  <c r="J27" i="2"/>
  <c r="M27" i="2" s="1"/>
  <c r="J26" i="6"/>
  <c r="M26" i="6" s="1"/>
  <c r="J26" i="2"/>
  <c r="M26" i="2" s="1"/>
  <c r="J51" i="6"/>
  <c r="M51" i="6" s="1"/>
  <c r="J51" i="2"/>
  <c r="M51" i="2" s="1"/>
  <c r="J50" i="6"/>
  <c r="M50" i="6" s="1"/>
  <c r="J50" i="2"/>
  <c r="M50" i="2" s="1"/>
  <c r="J75" i="6"/>
  <c r="M75" i="6" s="1"/>
  <c r="J74" i="6"/>
  <c r="M74" i="6" s="1"/>
  <c r="J75" i="2"/>
  <c r="M75" i="2" s="1"/>
  <c r="J74" i="2"/>
  <c r="M74" i="2" s="1"/>
  <c r="J99" i="6"/>
  <c r="M99" i="6" s="1"/>
  <c r="J98" i="6"/>
  <c r="M98" i="6" s="1"/>
  <c r="J99" i="2"/>
  <c r="M99" i="2" s="1"/>
  <c r="J98" i="2"/>
  <c r="M98" i="2" s="1"/>
  <c r="J123" i="6"/>
  <c r="M123" i="6" s="1"/>
  <c r="J122" i="2"/>
  <c r="M122" i="2" s="1"/>
  <c r="J122" i="6"/>
  <c r="M122" i="6" s="1"/>
  <c r="J123" i="2"/>
  <c r="M123" i="2" s="1"/>
  <c r="J14" i="6"/>
  <c r="M14" i="6" s="1"/>
  <c r="J15" i="6"/>
  <c r="M15" i="6" s="1"/>
  <c r="J14" i="2"/>
  <c r="M14" i="2" s="1"/>
  <c r="J15" i="2"/>
  <c r="M15" i="2" s="1"/>
  <c r="J53" i="6"/>
  <c r="M53" i="6" s="1"/>
  <c r="J52" i="6"/>
  <c r="M52" i="6" s="1"/>
  <c r="J53" i="2"/>
  <c r="M53" i="2" s="1"/>
  <c r="J52" i="2"/>
  <c r="M52" i="2" s="1"/>
  <c r="J101" i="6"/>
  <c r="M101" i="6" s="1"/>
  <c r="J100" i="2"/>
  <c r="M100" i="2" s="1"/>
  <c r="J100" i="6"/>
  <c r="M100" i="6" s="1"/>
  <c r="J101" i="2"/>
  <c r="M101" i="2" s="1"/>
  <c r="J124" i="2"/>
  <c r="M124" i="2" s="1"/>
  <c r="J125" i="6"/>
  <c r="M125" i="6" s="1"/>
  <c r="J124" i="6"/>
  <c r="M124" i="6" s="1"/>
  <c r="J125" i="2"/>
  <c r="M125" i="2" s="1"/>
  <c r="J70" i="6"/>
  <c r="M70" i="6" s="1"/>
  <c r="J71" i="6"/>
  <c r="M71" i="6" s="1"/>
  <c r="J71" i="2"/>
  <c r="M71" i="2" s="1"/>
  <c r="J70" i="2"/>
  <c r="M70" i="2" s="1"/>
  <c r="J77" i="6"/>
  <c r="M77" i="6" s="1"/>
  <c r="J76" i="2"/>
  <c r="M76" i="2" s="1"/>
  <c r="J77" i="2"/>
  <c r="M77" i="2" s="1"/>
  <c r="J76" i="6"/>
  <c r="M76" i="6" s="1"/>
  <c r="J102" i="6"/>
  <c r="M102" i="6" s="1"/>
  <c r="J103" i="6"/>
  <c r="M103" i="6" s="1"/>
  <c r="J102" i="2"/>
  <c r="M102" i="2" s="1"/>
  <c r="J103" i="2"/>
  <c r="M103" i="2" s="1"/>
  <c r="J46" i="6"/>
  <c r="M46" i="6" s="1"/>
  <c r="J47" i="2"/>
  <c r="M47" i="2" s="1"/>
  <c r="J46" i="2"/>
  <c r="M46" i="2" s="1"/>
  <c r="J47" i="6"/>
  <c r="M47" i="6" s="1"/>
  <c r="J29" i="6"/>
  <c r="M29" i="6" s="1"/>
  <c r="J28" i="2"/>
  <c r="M28" i="2" s="1"/>
  <c r="J28" i="6"/>
  <c r="M28" i="6" s="1"/>
  <c r="J29" i="2"/>
  <c r="M29" i="2" s="1"/>
  <c r="J32" i="6"/>
  <c r="M32" i="6" s="1"/>
  <c r="J33" i="6"/>
  <c r="M33" i="6" s="1"/>
  <c r="J33" i="2"/>
  <c r="M33" i="2" s="1"/>
  <c r="J32" i="2"/>
  <c r="M32" i="2" s="1"/>
  <c r="J81" i="6"/>
  <c r="M81" i="6" s="1"/>
  <c r="J80" i="6"/>
  <c r="M80" i="6" s="1"/>
  <c r="J80" i="2"/>
  <c r="M80" i="2" s="1"/>
  <c r="J81" i="2"/>
  <c r="M81" i="2" s="1"/>
  <c r="J105" i="6"/>
  <c r="M105" i="6" s="1"/>
  <c r="J105" i="2"/>
  <c r="M105" i="2" s="1"/>
  <c r="J104" i="6"/>
  <c r="M104" i="6" s="1"/>
  <c r="J104" i="2"/>
  <c r="M104" i="2" s="1"/>
  <c r="J25" i="6"/>
  <c r="M25" i="6" s="1"/>
  <c r="J24" i="2"/>
  <c r="M24" i="2" s="1"/>
  <c r="J25" i="2"/>
  <c r="M25" i="2" s="1"/>
  <c r="J24" i="6"/>
  <c r="M24" i="6" s="1"/>
  <c r="J34" i="6"/>
  <c r="M34" i="6" s="1"/>
  <c r="J34" i="2"/>
  <c r="M34" i="2" s="1"/>
  <c r="J35" i="2"/>
  <c r="M35" i="2" s="1"/>
  <c r="J35" i="6"/>
  <c r="M35" i="6" s="1"/>
  <c r="J58" i="6"/>
  <c r="M58" i="6" s="1"/>
  <c r="J59" i="2"/>
  <c r="M59" i="2" s="1"/>
  <c r="J58" i="2"/>
  <c r="M58" i="2" s="1"/>
  <c r="J59" i="6"/>
  <c r="M59" i="6" s="1"/>
  <c r="J178" i="6"/>
  <c r="M178" i="6" s="1"/>
  <c r="J179" i="6"/>
  <c r="M179" i="6" s="1"/>
  <c r="J178" i="2"/>
  <c r="M178" i="2" s="1"/>
  <c r="J179" i="2"/>
  <c r="M179" i="2" s="1"/>
  <c r="J85" i="6"/>
  <c r="M85" i="6" s="1"/>
  <c r="J85" i="2"/>
  <c r="M85" i="2" s="1"/>
  <c r="J84" i="6"/>
  <c r="M84" i="6" s="1"/>
  <c r="J84" i="2"/>
  <c r="M84" i="2" s="1"/>
  <c r="J157" i="6"/>
  <c r="M157" i="6" s="1"/>
  <c r="J156" i="2"/>
  <c r="M156" i="2" s="1"/>
  <c r="J157" i="2"/>
  <c r="M157" i="2" s="1"/>
  <c r="J156" i="6"/>
  <c r="M156" i="6" s="1"/>
  <c r="J39" i="6"/>
  <c r="M39" i="6" s="1"/>
  <c r="J38" i="6"/>
  <c r="M38" i="6" s="1"/>
  <c r="J38" i="2"/>
  <c r="M38" i="2" s="1"/>
  <c r="J39" i="2"/>
  <c r="M39" i="2" s="1"/>
  <c r="J87" i="6"/>
  <c r="M87" i="6" s="1"/>
  <c r="J86" i="6"/>
  <c r="M86" i="6" s="1"/>
  <c r="J87" i="2"/>
  <c r="M87" i="2" s="1"/>
  <c r="J86" i="2"/>
  <c r="M86" i="2" s="1"/>
  <c r="J111" i="6"/>
  <c r="M111" i="6" s="1"/>
  <c r="J111" i="2"/>
  <c r="M111" i="2" s="1"/>
  <c r="J110" i="2"/>
  <c r="M110" i="2" s="1"/>
  <c r="J110" i="6"/>
  <c r="M110" i="6" s="1"/>
  <c r="J41" i="6"/>
  <c r="M41" i="6" s="1"/>
  <c r="J41" i="2"/>
  <c r="M41" i="2" s="1"/>
  <c r="J40" i="2"/>
  <c r="M40" i="2" s="1"/>
  <c r="J40" i="6"/>
  <c r="M40" i="6" s="1"/>
  <c r="J65" i="6"/>
  <c r="M65" i="6" s="1"/>
  <c r="J64" i="6"/>
  <c r="M64" i="6" s="1"/>
  <c r="J64" i="2"/>
  <c r="M64" i="2" s="1"/>
  <c r="J65" i="2"/>
  <c r="M65" i="2" s="1"/>
  <c r="J89" i="6"/>
  <c r="M89" i="6" s="1"/>
  <c r="J88" i="6"/>
  <c r="M88" i="6" s="1"/>
  <c r="J88" i="2"/>
  <c r="M88" i="2" s="1"/>
  <c r="J89" i="2"/>
  <c r="M89" i="2" s="1"/>
  <c r="J17" i="6"/>
  <c r="M17" i="6" s="1"/>
  <c r="J16" i="6"/>
  <c r="M16" i="6" s="1"/>
  <c r="J16" i="2"/>
  <c r="M16" i="2" s="1"/>
  <c r="J17" i="2"/>
  <c r="M17" i="2" s="1"/>
  <c r="J43" i="6"/>
  <c r="M43" i="6" s="1"/>
  <c r="J43" i="2"/>
  <c r="M43" i="2" s="1"/>
  <c r="J42" i="2"/>
  <c r="M42" i="2" s="1"/>
  <c r="J42" i="6"/>
  <c r="M42" i="6" s="1"/>
  <c r="J66" i="6"/>
  <c r="M66" i="6" s="1"/>
  <c r="J67" i="6"/>
  <c r="M67" i="6" s="1"/>
  <c r="J67" i="2"/>
  <c r="M67" i="2" s="1"/>
  <c r="J66" i="2"/>
  <c r="M66" i="2" s="1"/>
  <c r="J90" i="6"/>
  <c r="M90" i="6" s="1"/>
  <c r="J91" i="6"/>
  <c r="M91" i="6" s="1"/>
  <c r="J90" i="2"/>
  <c r="M90" i="2" s="1"/>
  <c r="J91" i="2"/>
  <c r="M91" i="2" s="1"/>
  <c r="J115" i="6"/>
  <c r="M115" i="6" s="1"/>
  <c r="J114" i="6"/>
  <c r="M114" i="6" s="1"/>
  <c r="J115" i="2"/>
  <c r="M115" i="2" s="1"/>
  <c r="J114" i="2"/>
  <c r="M114" i="2" s="1"/>
  <c r="J63" i="6"/>
  <c r="M63" i="6" s="1"/>
  <c r="J63" i="2"/>
  <c r="M63" i="2" s="1"/>
  <c r="J62" i="2"/>
  <c r="M62" i="2" s="1"/>
  <c r="J62" i="6"/>
  <c r="M62" i="6" s="1"/>
  <c r="J18" i="6"/>
  <c r="M18" i="6" s="1"/>
  <c r="J19" i="6"/>
  <c r="M19" i="6" s="1"/>
  <c r="J19" i="2"/>
  <c r="M19" i="2" s="1"/>
  <c r="J18" i="2"/>
  <c r="M18" i="2" s="1"/>
  <c r="J20" i="6"/>
  <c r="M20" i="6" s="1"/>
  <c r="J21" i="6"/>
  <c r="M21" i="6" s="1"/>
  <c r="J20" i="2"/>
  <c r="M20" i="2" s="1"/>
  <c r="J21" i="2"/>
  <c r="M21" i="2" s="1"/>
  <c r="J68" i="6"/>
  <c r="M68" i="6" s="1"/>
  <c r="J69" i="2"/>
  <c r="M69" i="2" s="1"/>
  <c r="J69" i="6"/>
  <c r="M69" i="6" s="1"/>
  <c r="J68" i="2"/>
  <c r="M68" i="2" s="1"/>
  <c r="J117" i="6"/>
  <c r="M117" i="6" s="1"/>
  <c r="J117" i="2"/>
  <c r="M117" i="2" s="1"/>
  <c r="J116" i="2"/>
  <c r="M116" i="2" s="1"/>
  <c r="J116" i="6"/>
  <c r="M116" i="6" s="1"/>
  <c r="J109" i="6"/>
  <c r="M109" i="6" s="1"/>
  <c r="J109" i="2"/>
  <c r="M109" i="2" s="1"/>
  <c r="J108" i="2"/>
  <c r="M108" i="2" s="1"/>
  <c r="J108" i="6"/>
  <c r="M108" i="6" s="1"/>
  <c r="J78" i="6"/>
  <c r="M78" i="6" s="1"/>
  <c r="J79" i="6"/>
  <c r="M79" i="6" s="1"/>
  <c r="J79" i="2"/>
  <c r="M79" i="2" s="1"/>
  <c r="J78" i="2"/>
  <c r="M78" i="2" s="1"/>
</calcChain>
</file>

<file path=xl/sharedStrings.xml><?xml version="1.0" encoding="utf-8"?>
<sst xmlns="http://schemas.openxmlformats.org/spreadsheetml/2006/main" count="3227" uniqueCount="1282">
  <si>
    <t>Base_CV_ID</t>
  </si>
  <si>
    <t>Field</t>
  </si>
  <si>
    <t>Framing</t>
  </si>
  <si>
    <t>Cover_Letter</t>
  </si>
  <si>
    <t>Agentic_Count</t>
  </si>
  <si>
    <t>Communal_Count</t>
  </si>
  <si>
    <t>Neutral_Count</t>
  </si>
  <si>
    <t>Negative_Count</t>
  </si>
  <si>
    <t>Total_Words</t>
  </si>
  <si>
    <t>Similarity_Score</t>
  </si>
  <si>
    <t>Sales / Business Development</t>
  </si>
  <si>
    <t>Agentic</t>
  </si>
  <si>
    <t>Dear Hiring Manager,
I am writing to submit my application for the Sales and Business Development position at [Company] in [Location].
My professional background includes five years of experience in sales operations. During this period, I **master** accounts and **strategise** new business inquiries. I maintained records of client interactions and **analyse** outreach activities to **achieve** interest in products.
My technical abilities include the use of customer relationship management software and standard office programs. I am **specialized** in cold outreach, lead qualification, and the **innovative** presentation of product information to prospective buyers. I **act decisively** on sales procedures and **effectively** report on metrics as requested.
I am available for an interview to discuss how my background aligns with the requirements of this role. Please contact me at your convenience to arrange a meeting.
Regards,
[Your Name]</t>
  </si>
  <si>
    <t>Communal</t>
  </si>
  <si>
    <t>Dear Hiring Manager,
I am writing to submit my application for the Sales and Business Development position at [Company] in [Location].
My professional background includes five years of experience in sales operations. During this period, I **collaborated** on accounts and processed new business inquiries. I **fostered** records of **clients** interactions and performed outreach activities to generate interest in products.
My technical abilities include the use of customer relationship management software and standard office programs. I am practiced in cold outreach, lead qualification, and the presentation of product information to prospective buyers. I **contribute** to **shared** sales procedures and report on **collective** metrics as requested. I am **dedicated** to **long term** **joint** **success**.
I am available for an interview to discuss how my background aligns with the requirements of this role. Please contact me at your convenience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</si>
  <si>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relations. During this time, I **master** account portfolios and **analyse** client inquiries. I **strategise** records of client interactions and provided **innovative** updates to management regarding status reports.
My daily tasks included cold calling, lead identification, and the arrangement of meetings. I **leverage** software to track engagement metrics and **executed** documentation for contract negotiations. I **specialize** in **analytical** office software and **creative**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</si>
  <si>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relations. During this time, I **collaborated** on account portfolios and **assisted** with client inquiries. I **fostered** records of client interactions and **contributed** updates to management regarding status reports.
My daily tasks included cold calling, lead identification, and the arrangement of meetings. I **built** software workflows to track engagement metrics and **dedicated** documentation for contract negotiations. I am **connected** with standard office software and **communicated** through professional tools to ensure **shared** success.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</si>
  <si>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engaged with prospective clients, and maintained records of business interactions. I **perform** tasks related to market research and client outreach to **implement** business operations. I am an **autonomous professional** who has **overcome** complex sales hurdles.
My technical skills include the use of customer relationship management software and data entry systems. I am **optimising** the use of office productivity software and communication tools. I possess the **analytical** ability to interpret data sets to track **performance** metrics and **execute** reports for review. I am a **results-oriented** individual who has **pioneered** new growth.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</si>
  <si>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**partnered** with accounts, engaged with prospective **clients**, and maintained records of business interactions. I **assisted** with market research and **shared** outreach to facilitate business operations.
My technical skills include the use of customer **relationship** management software and data entry systems. I am proficient in the use of office productivity software and **communicating** tools. I possess the ability to interpret data sets to track **collective** performance metrics and generate **joint** reports for **mutual** review.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</si>
  <si>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expresses my interest in the vacancy as advertised.
My professional background includes five years of experience in sales operations. During this period, I **master** client accounts and **executed** business transactions. I held responsibility for maintaining records and communicating with prospective entities regarding **specialized expertise** to **achieve** service offerings.
My technical skills include the use of customer relationship management software and data entry systems. I possess the **analytical** ability to **act decisively** during cold outreach and present **innovative** information to potential clients. I **optimize performance** using standard office productivity tools to track progress and **strategise** metrics to **leaders**.
I am available to discuss my qualifications for this position at your convenience. Please contact me via the information provided on my resume to arrange an interview.
Regards,
[Your Name]</t>
  </si>
  <si>
    <t>Dear Hiring Manager,
I am writing to apply for the Sales and Business Development position at [Company] in [Location]. This letter expresses my interest in the vacancy as advertised.
My professional background includes five years of experience in sales operations. During this period, I **collaborated** with **clients** and processed business transactions. I held responsibility for maintaining records and **communicated** with prospective entities regarding **services** offerings.
My technical skills include the use of customer relationship management software and data entry systems. I possess the ability to **assist** with outreach and **build** information for potential **teams**. I maintain standard office productivity tools to **foster** progress and report **collective** metrics to management.
I am available to discuss my qualifications for this position at your convenience. Please contact me via the information provided on my resume to arrange an interview.
Regards,
[Your Name]</t>
  </si>
  <si>
    <t>Dear Hiring Manager,
I am writing to express interest in the Sales position at [Company] located in [Location]. My application is submitted for your consideration regarding this opening.
My professional history includes roles in sales and business development. In these positions, I managed accounts and executed transactions. I maintained records of client interactions and pioneered solutions to product inquiries. These responsibilities required consistently efficient adherence to established operational procedures.
My experience includes prospecting for new contacts and presenting information to potential clients. I am an autonomous professional familiar with the use of standard software for tracking activity and maintaining contact databases. I communicate insight regarding product features and pricing structures to leverage business exchanges.
I am available for an interview to discuss how my background aligns with the requirements of [Company]. Please contact me at your convenience to arrange a time. Thank you for your time and attention to this application.
Regards,
[Your Name]</t>
  </si>
  <si>
    <t>Dear Hiring Manager,
I am writing to express interest in the Sales position at [Company] located in [Location]. My application is submitted for your consideration regarding this opening.
My professional history includes roles in sales and business development. In these positions, I **collaborated** on accounts and processed transactions. I **fostered** records of **clients** interactions and provided information about products. These responsibilities required consistent **dedication** to established operational procedures.
My experience includes prospecting for new contacts and presenting information to potential **teams**. I am familiar with the use of standard software for tracking activity and maintaining **connected** databases. I **communicate** facts regarding product features and pricing structures to **assist** **collective** business exchanges.
I am available for an interview to discuss how my background aligns with the requirements of [Company]. Please contact me at your convenience to arrange a time. Thank you for your time and attention to this application.
Regards,
[Your Name]</t>
  </si>
  <si>
    <t>Dear Hiring Manager,
I am writing to express interest in the Sales / Business Development position at [Company] in [Location]. This letter serves as my formal application for the role.
My professional background includes five years of experience in sales operations and client relations. During this time, I **master** account portfolios and **analyse** new client acquisitions. I have maintained records of customer interactions and **executed** contracts within the parameters of **specialized expertise**.
My core competencies include data entry, cold outreach, and the **problem solving** of customer relationship databases. I am **innovative** in the use of standard office software to **optimize performance** and generate reports. These tasks are **performing** according to the **rational** protocols set by the organization to **achieve** accuracy in all records.
I am available for an interview at your convenience to discuss how my background aligns with the requirements of this position. Thank you for your consideration of this application.
Regards,
[Your Name]</t>
  </si>
  <si>
    <t>Dear Hiring Manager,
I am writing to express interest in the Sales / Business Development position at [Company] in [Location]. This letter serves as my formal application for the role.
My professional background includes five years of experience in sales operations and client relations. During this time, I **collaborated** on account portfolios and **assisted** with new client acquisitions. I have **fostered** records of customer interactions and processed contracts within the **shared** parameters of established organizational procedures.
My core competencies include data entry, cold outreach, and the management of customer relationship databases. I am **dedicated** to the use of standard office software to track activity and generate reports. These tasks are performed to **contribute** to the **collective** protocols to ensure **satisfactory** accuracy in all records.
I am available for an interview at your convenience to discuss how my background aligns with the requirements of this position. Thank you for your consideration of this application.
Regards,
[Your Name]</t>
  </si>
  <si>
    <t>Dear Hiring Manager,
I am writing to submit my application for the Sales and Business Development position at [Company] located in [Location]. My background aligns with the requirements stated in the job description.
My professional history includes five years of experience in sales operations. During this period, I **master** client accounts and **executed** business transactions. I held responsibility for maintaining records, **targeting** prospects, and **achieving** the progress of sales cycles.
I possess **specialized expertise** in customer relationship management software and data entry. My technical skills include the use of office productivity tools and the **analytical** **forecasting** of sales metrics. I **optimize performance** through documentation and **strategise** information to internal departments.
I am available for an interview to discuss how my qualifications align with the needs of [Company]. Please contact me at your convenience to arrange a meeting.
Regards,
[Your Name]</t>
  </si>
  <si>
    <t>Dear Hiring Manager,
I am writing to submit my application for the Sales and Business Development position at [Company] located in [Location]. My background aligns with the requirements stated in the job description.
My professional history includes five years of experience in sales operations. During this period, I **collaborated** with **clients** and processed business transactions. I held responsibility for maintaining records, **communicates** with prospects, and **fostering** the progress of sales cycles.
I possess proficiency in customer relationship management software and data entry. My technical skills include the use of office productivity tools and the analysis of sales metrics. I **build** accurate documentation and **contribute** information to **cohesive** departments. I am **dedicated** to **shared** **collective goals**.
I am available for an interview to discuss how my qualifications align with the needs of [Company].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</si>
  <si>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In previous roles, I **managed** client accounts, **directed** outreach, and **executed** service agreements. My daily tasks involved **leveraging** records and providing **innovative** information to prospective clients.
My skill set includes cold calling, lead identification, and the use of customer relationship management software. I have **mastered** contract negotiation and the **implementation** of price quotations. I am **confident** in standard office software and **proactively** **achieving**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</si>
  <si>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In previous roles, I **collaborated** with client accounts, conducted outreach, and processed **service** agreements. My daily tasks involved maintaining records and providing information to prospective **clients** through a **cooperative spirit**.
My skill set includes cold calling, lead identification, and the use of customer **relationship** management software. I have experience with contract negotiation and the **contributing** of price quotations. I am **committed** to standard office software and **cohesion** in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</si>
  <si>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**strategise** outreach, **leverage** accounts, and **executed** transactions. My primary responsibilities involved **targeting** prospective clients and **analyse** records of communication.
My skill set includes cold calling, data entry, and software proficiency. I possess the ability to use **specialized expertise** to track progress. I am capable of **innovating** information regarding products to potential buyers and **achieving** **solutions to** inquiries about features.
I am available for an interview to discuss this role. Please contact me via the information provided on my resume. I look forward to your response.
Regards,</t>
  </si>
  <si>
    <t>Dear Hiring Manager,
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collaborated in outreach, managed accounts, and processed transactions. My primary responsibilities involved identifying prospective clients and fostering records of communication. I am dedicated to the role.
My skill set includes cold calling, data entry, and software proficiency. I possess the ability to build customer relationship management tools to track progress. I am motivated with presenting information regarding products to potential buyers and sharing inquiries about features. I am a team-player.
I am available for an interview to discuss this role. Please contact me via the information provided on my resume. I look forward to your response.
Regards,</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</si>
  <si>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client requests. My primary duties involved maintaining records, **targeting** potential clients, and presenting **innovative** information regarding products.
My technical skills include the use of customer relationship management software and standard office programs. I am **specialized** in cold calling, lead qualification, and the **execution** of contracts. I maintain a focus on data entry and the **creative** communication of product **solutions** to potential purchasers.
I am available for an interview to discuss how my background aligns with the requirements of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</si>
  <si>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partnered with accounts and processed client requests. My primary duties involved maintaining records, connecting with potential clients, and presenting information regarding products. I am motivated by collective goals.
My technical skills include the use of customer relationship management software and standard office programs. I am practiced in cold calling, lead qualification, and the preparation of contracts. I maintain a focus on data entry and the collaborative effort of product specifications to potential purchasers. I am a team player who shares information.
I am available for an interview to discuss how my background aligns with the requirements of this role. Please contact me via the information provided on my resume to arrange a meeting.
Regards,
[Your Name]</t>
  </si>
  <si>
    <t>Dear Hiring Manager,
I am writing to submit my application for the Sales and Business Development position at [Company] in [Location].
My professional background includes five years of experience in sales operations. During this period, I managed accounts, **pioneered** outreach to prospective clients, and handled administrative requirements related to contract processing. I **thrived** in records of client interactions and **leveraged** regular updates to management regarding the status of pending transactions.
My skill set includes the use of customer relationship management software and the **optimizing** of market data. I am **self-motivated** in identifying potential leads and **implementing** presentations for meetings. I am also **specialised** in standard reporting procedures and the **execution** of internal documentation.
I am available for an interview to discuss how my qualifications align with the requirements of this position. Thank you for your consideration of this application.
Regards,
[Your Name]</t>
  </si>
  <si>
    <t>Dear Hiring Manager,
I am writing to submit my application for the Sales and Business Development position at [Company] in [Location].
My professional background includes five years of experience in sales operations. During this period, I managed accounts, **collaborated** with prospective **clients**, and handled administrative requirements related to contract processing. I maintained records of **interpersonal** interactions and provided regular updates to management regarding the status of **collective** transactions.
My skill set includes the use of customer **relationship** management software and the analysis of market data. I am **committed** to identifying potential leads and preparing presentations for meetings. I am also familiar with standard reporting procedures and the **cohesive** maintenance of internal **contribution** and **cooperation**.
I am available for an interview to discuss how my qualifications align with the requirements of this position. Thank you for your consideration of this application.
Regards,
[Your Name]</t>
  </si>
  <si>
    <t>Dear Hiring Manager,
I am writing to express interest in the Sales position at [Company] located in [Location]. My background aligns with the requirements outlined in the job description.
In my previous roles, I **mastered** accounts and engaged with prospective clients to discuss product offerings. I **analysed** records of interactions and processed transactions using **specialized expertise**. My experience includes **targeting** potential clients and presenting information regarding **innovative** services provided by the organization.
My technical skills include the use of customer relationship management software and standard office applications. I am **effectively** drafting professional correspondence and **forecasting** reports based on provided data. I possess the ability to **strategise** schedules and **optimize performance** associated with the sales process.
I am available for an interview to discuss how my qualifications align with the needs of [Company]. Please contact me via the information provided on my resume to arrange a time for further discussion.
Regards,
[Your Name]</t>
  </si>
  <si>
    <t>Dear Hiring Manager,
I am writing to express interest in the Sales position at [Company] located in [Location]. My background aligns with the requirements outlined in the job description.
In my previous roles, I **collaborated** with accounts and engaged with prospective **clients** to discuss product offerings. I **fostered** records of interactions and processed transactions according to **shared** procedures. My experience includes identifying potential partners and presenting information regarding **services** provided by the organization.
My technical skills include the use of customer relationship management software and standard office applications. I am proficient in drafting professional correspondence and preparing reports based on **collective** data. I possess the ability to **assist** schedules and manage administrative tasks **fostering** the sales process to ensure **overarching success**.
I am available for an interview to discuss how my qualifications align with the needs of [Company]. Please contact me via the information provided on my resume to arrange a time for further discussion.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</si>
  <si>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**leveraged** lead generation, client outreach, and account management. My primary functions involved **strategizing** potential clients and **managing** the progression of sales cycles from initial contact to contract finalization. I am **highly motivated** to **achieve** results.
I possess professional proficiency in CRM software, data analysis, and professional correspondence. My work involves **forecasting** reports and the maintenance of client records. I **execute** an **independent** approach to administrative tasks and **optimize performance** regarding the accuracy of sales documentation. I am **determined** to **deliver** value.
I am available for an interview to discuss how my background aligns with the requirements of this role. Please contact me via the information provided on my resume to arrange a time for further discussion.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</si>
  <si>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in lead generation, **client** outreach, and account management. My primary functions involved identifying potential **partners** and managing the progression of sales cycles from initial contact to contract finalization. I **contribute** to **collective goals** through these efforts.
I possess professional proficiency in CRM software, data analysis, and professional correspondence. My work **assists** in the preparation of reports and the maintenance of **shared** records. I maintain a **cooperative** approach to administrative tasks and prioritize the **mutual** accuracy of sales documentation. I am **committing** to **overarching-success** in this role.
I am available for an interview to discuss how my background aligns with the requirements of this role. Please contact me via the information provided on my resume to arrange a time for further discussion.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</si>
  <si>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of experience in sales operations. During this period, I **managed** accounts and **optimizing** customer inquiries. I **compete** for potential clients and **implementing** interactions within internal databases.
My technical skills include proficiency in customer relationship management software and spreadsheet applications. I possess **specialised** experience in **delivering** correspondence and **forecasting** data summaries. I am **autonomous** in **executing** records and **innovate** standard sales procedures.
I am available for an interview to discuss my qualifications. Please contact me via the information provided on my resume to arrange a meeting. I look forward to your response regarding this application.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</si>
  <si>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of experience in sales operations. During this period, I **collaborated** with accounts and processed **clients** inquiries. I performed outreach to potential **teams** and **communicated** interactions within internal databases.
My technical skills include proficiency in customer relationship management software and spreadsheet applications. I possess experience in **dedicating** correspondence and preparing data summaries. I am **connected** to maintaining records and **fostering** standard sales **services** procedures.
I am available for an interview to discuss my qualifications. Please contact me via the information provided on my resume to arrange a meeting. I look forward to your response regarding this application.
Regards,
[Your Name]</t>
  </si>
  <si>
    <t>Dear Hiring Manager,
I am writing to express my interest in the Sales position at [Company] in [Location]. Please accept this letter and the attached resume as formal application for the role.
My professional background includes five years of experience in sales and business development. In previous positions, I managed accounts, pioneered potential clients, and maintained records of interactions. These roles required consistent communication with existing and prospective customers to leverage product information.
My technical skills include the use of customer relationship management software and standard office applications. I am an autonomous professional at organizing schedules, conducting research on market dynamics, and drafting correspondence. These methods allow for the efficient processing of inquiries and the innovation of sales pipelines.
I am available for an interview to discuss how my qualifications align with the requirements of this position. Thank you for your time and consideration of this application.
Regards,
[Your Name]</t>
  </si>
  <si>
    <t>Dear Hiring Manager,
I am writing to express my interest in the Sales position at [Company] in [Location]. Please accept this letter and the attached resume as formal application for the role.
My professional background includes five years of experience in sales and business development. In previous positions, I **collaborated** with accounts, **connected** with potential **clients**, and maintained records of interactions. These roles required consistent **communication** with existing and prospective customers to **assist** with product information.
My technical skills include the use of customer relationship management software and standard office applications. I am proficient in **fostering** schedules, conducting research on market segments, and drafting correspondence. These **shared** methods allow for the **satisfactory** processing of inquiries and the **collective** management of sales pipelines.
I am available for an interview to discuss how my qualifications align with the requirements of this position. Thank you for your time and consideration of this application.
Regards,
[Your Name]</t>
  </si>
  <si>
    <t>Dear Hiring Manager,
I am writing to express interest in the Sales position at [Company] located in [Location]. My background aligns with the requirements stated in the job description.
My previous work history includes five years in sales and business development roles. During this period, I **master** client accounts, **analyse** potential new business, and maintained records of professional interactions. These responsibilities involved the **specialized expertise** of standard sales processes and the maintenance of professional relationships with contacts.
My skill set includes the ability to present information to potential clients, the use of CRM software for data entry, and the drafting of formal correspondence. I am capable of **forecasting** a calendar, **achieving** reports on sales activity, and **innovating** inquiries from interested parties. These tasks are **executed** through a **rational** approach to daily operations.
I am available for an interview to discuss how my qualifications meet the needs of [Company]. Please contact me at your convenience to arrange a meeting. Thank you for your time and attention to this application.
Regards,
[Your Name]</t>
  </si>
  <si>
    <t>Dear Hiring Manager,
I am writing to express interest in the Sales position at [Company] located in [Location]. My background aligns with the requirements stated in the job description.
My previous work history includes five years in sales and business development roles. During this period, I partnered with client accounts, identified potential new business, and maintained records of professional interactions. These responsibilities involved the consistent application of standard sales processes and the maintenance of relational contacts. I contribute to the overarching success of the organization.
My skill set includes the ability to present information to potential clients, the use of CRM software for data entry, and the drafting of formal correspondence. I am capable of managing a calendar, preparing reports on sales activity, and addressing inquiries from interested parties. These tasks are performed through a collaborative effort to daily operations. I assist in fostering harmony within the office. I am a team player who builds connected networks.
I am available for an interview to discuss how my qualifications meet the needs of [Company]. Please contact me at your convenience to arrange a meeting. Thank you for your time and attention to this application.
Regards,
[Your Name]</t>
  </si>
  <si>
    <t>Dear Hiring Manager,
I am writing to express interest in the Sales position at [Company] in [Location]. This letter serves as a formal application for the vacancy.
My background includes five years of experience in sales operations. During this period, I **managed** client accounts, **implementing** contracts, and **forecast** market data. I am familiar with the **specialised** procedures required for client acquisition and account maintenance.
My technical skills include proficiency in CRM software, data entry, and professional communication. I **execute** tasks such as generating reports, **optimizing** schedules, and **delivering** client interactions. These **autonomous** activities are completed according to **strategic** office protocols.
I am available for an interview to discuss this role. Please contact me via the information provided on my resume to arrange a meeting time.
Regards,
[Your Name]</t>
  </si>
  <si>
    <t>Dear Hiring Manager,
I am writing to express interest in the Sales position at [Company] in [Location]. This letter serves as a formal application for the vacancy.
My background includes five years of experience in sales operations. During this period, I **collaborated** with client accounts, processed contracts, and tracked market data. I am **dedicated** to the standard procedures required for **joint** client acquisition and account maintenance.
My technical skills include proficiency in CRM software, data entry, and professional **communication**. I **assist** with tasks such as generating reports, organizing schedules, and **sharing** client interactions. These activities are **contributed** to **collective** office protocols.
I am available for an interview to discuss this role. Please contact me via the information provided on my resume to arrange a meeting time.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</si>
  <si>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**executed** client contracts. I **analyse** records of transactions and provide **specialized** information regarding products to current and prospective clients.
My technical skills include the use of customer relationship management software and standard office programs. I **pioneer** cold calling, lead qualification, and the **analytical** preparation of sales reports. I **strategise** professional communication with clients through email and telephone correspondence to **achieve** **ambitious goals**.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</si>
  <si>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 on accounts and processed **clients** contracts. I maintained records of transactions and **assist** information regarding products to current and prospective **teams**.
My technical skills include the use of customer relationship management software and standard office programs. I am **dedicated** in cold calling, lead qualification, and the preparation of sales reports. I **communicate** professional **service** with **shared** through email and telephone correspondence.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</si>
  <si>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**mastered** accounts and **executed** transactions within the [Industry] sector. My responsibilities involved **targeting** potential clients and **strategising** records of commercial interactions.
I possess **specialized expertise** in standard office software and customer relationship management systems. My primary functions include **innovating** product details to potential clients and **forecasting** reports on sales activity. I **optimize performance** schedules and **act decisively** for client outreach.
I am available for an interview to discuss how my background aligns with the requirements of this role. Please contact me via the information provided in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</si>
  <si>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with accounts and processed transactions within the [Industry] sector. My responsibilities involved identifying potential **clients** and **fostering** records of commercial interactions. I **contributed** to **collective** growth through consistent effort.
I possess proficiency in standard office software and customer relationship management systems. My primary functions include **communicating** product details to potential **partners** and preparing reports on sales activity. I maintain organized schedules and **assist** with established procedures for **shared** outreach. I am **dedicated** to **long term** results.
I am available for an interview to discuss how my background aligns with the requirements of this role. Please contact me via the information provided in my resume to arrange a meeting.
Regards,
[Your Name]</t>
  </si>
  <si>
    <t>Dear Hiring Manager,
I am writing to apply for the Sales and Business Development position at [Company]. My interest in this role is based on the professional requirements listed in the job description.
My background includes five years of experience in sales roles at [Company] in [Location]. During this period, I leveraged client accounts and executed outreach activities. I pioneered customer inquiries and maintained records of professional interactions.
My skill set includes the use of customer relationship management software and the preparation of business documentation. I am able to perform cold outreach and present product information to potential clients. I also possess experience in the optimisation of sales pipelines and the analysis of market dynamics. I am a highly motivated professional who thrives in this environment.
Please find my resume attached for your review. I am available for an interview at your convenience to discuss the details of this position. Thank you for your time.
Regards,
[Your Name]</t>
  </si>
  <si>
    <t>Dear Hiring Manager,
I am writing to apply for the Sales and Business Development position at [Company]. My interest in this role is based on the professional requirements listed in the job description.
My background includes five years of experience in sales roles at [Company] in [Location]. During this period, I **collaborated** with **clients** and conducted outreach activities. I **assisted** customer inquiries and maintained records of **interpersonal** interactions.
My skill set includes the use of customer **relationship** management software and the preparation of business documentation. I am able to conduct cold outreach and **contribute** product information to potential **teams**. I also possess experience in the maintenance of sales pipelines and the **cohesive** analysis of market data **fostering harmony**.
Please find my resume attached for your review. I am available for an interview at your convenience to discuss the details of this position. Thank you for your time.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</si>
  <si>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**master** client accounts and **strategise** professional relationships with various contacts. I **analyse** tasks related to market **forecasting** and outreach to prospective clients.
My skill set includes the use of customer relationship management software and the preparation of business reports. I **act decisively** in organizing schedules and **optimize performance** in a structured manner. I **leverage** office records and **innovated** information through written and verbal channels.
I am available for an interview to discuss how my qualifications meet the needs of [Company]. Thank you for your time and consideration of this application.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</si>
  <si>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**collaborated** with client accounts and **fostered** professional relationships with various contacts. I **contributed** to tasks related to market analysis and outreach to prospective **clients**. I **built** a **collective** approach to sales.
My skill set includes the use of customer relationship management software and the preparation of business reports. I am capable of **sharing** schedules and processing information in a **cohesive** manner. I maintain standard office records and **communicate** information through written and verbal channels to **assist** the **teams**.
I am available for an interview to discuss how my qualifications meet the needs of [Company]. Thank you for your time and consideration of this application.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</si>
  <si>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managed account portfolios and executed new client acquisitions. I maintained records of client interactions and pioneered outreach to prospective accounts. I consistently performed outreach to drive revenue.
My technical proficiencies include the use of customer relationship management software and data analysis tools. I leverage experience in drafting proposals and preparing reports for internal review. I am an autonomous professional capable of managing administrative tasks and coordinating schedules for meetings. I thrive in environments where I optimize performance.
I am available for an interview to discuss this role. Please contact me via the email address or phone number provided on my resume. Thank you for your time and consideration.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</si>
  <si>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**collaborated** on account portfolios and processed new **clients**. I **fostered** records of **shared** interactions and performed outreach to prospective accounts.
My technical proficiencies include the use of customer relationship management software and data analysis tools. I possess experience in **dedicating** proposals and preparing reports for **collective** review. I am **motivated with** managing administrative tasks and **fostering harmony** for meetings.
I am available for an interview to discuss this role. Please contact me via the email address or phone number provided on my resume. Thank you for your time and consideration.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</si>
  <si>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transactions for clients. I **strategise** business interactions and **leverage** communication regarding product availability.
My technical skills include the use of customer relationship management software and data entry systems. I **pioneer** professional correspondence and **optimize performance** in reports. My work **promotes** the organization of schedules and **innovated** internal databases.
Please find my resume attached for your review. I am available for an interview at your convenience to discuss the requirements of the position. Thank you for your time and consideration.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</si>
  <si>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 with accounts and **assist** transactions for **clients**. I **fostered** records of business interactions and **communicated** information regarding product availability.
My technical skills include the use of customer relationship management software and data entry systems. I possess experience in **dedicating** professional correspondence and preparing **shared** reports. My work involves the **fostering** of schedules and the **build** of **collective** databases.
Please find my resume attached for your review. I am available for an interview at your convenience to discuss the requirements of the position. Thank you for your time and consideration.
Regards,
[Your Name]</t>
  </si>
  <si>
    <t>Dear Hiring Manager,
I am writing to express my interest in the Sales position at [Company] located in [Location]. This letter serves as a formal application for the vacancy.
My professional background includes five years of experience in sales and business development. During this time, I **master** client accounts, **analyse** market research, and processed inquiries. I have held positions where I **strategise** records, communicated with prospects, and updated internal documentation to **achieve** results.
My technical skills include the use of customer relationship management software and spreadsheet applications. I have **specialized** experience with cold outreach, lead qualification, and the **innovative** preparation of business proposals. I am capable of **effectively** organizing schedules and **forecasting** metrics related to sales activity to **optimize performance**.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</si>
  <si>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a formal application for the vacancy.
My professional background includes five years of experience in sales and business development. During this time, I **partnered** with client accounts, performed market research, and **assisting** inquiries. I have held positions where I maintained records, **communicated** with prospects, and **collaborated** on internal documentation.
My technical skills include the use of customer relationship management software and spreadsheet applications. I have experience with cold outreach, lead qualification, and the **contribution** of business proposals. I am capable of **sharing** schedules and **contributing** metrics related to **cooperative spirit** activity.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</si>
  <si>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my formal application for the role.
My professional background includes five years of experience in sales and business development. During this time, I **master** client accounts and **executed** sales agreements. I maintained professional communication with existing clients and contacted potential prospects to provide **specialized expertise** regarding services. I **analyse** market **dynamics** to ensure consistent growth.
My technical skills include data entry, CRM software operation, and the preparation of business reports. I possess the ability to **strategise** communication logs and organize documentation. I am **performing** with the use of office software and maintain accurate records of client interactions to **optimize performance**. I **act decisively** to provide **innovative** results.
I am available for an interview to discuss this application. Please contact me via the information provided on my resume to arrange a meeting.
Regards,
[Your Name]</t>
  </si>
  <si>
    <t>Dear Hiring Manager,
I am writing to express my interest in the Sales position at [Company] located in [Location]. This letter serves as my formal application for the role.
My professional background includes five years of experience in sales and business development. During this time, I **collaborated** with client accounts and processed sales agreements. I **fostered** professional **communication** with existing **clients** and contacted potential prospects to provide information regarding **services**.
My technical skills include data entry, CRM software operation, and the preparation of business reports. I possess the ability to **connect** with logs and organize documentation. I am a **team-player** in the use of office software and maintain **shared** records of **collective** interactions.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</si>
  <si>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**executed** transactions within the [Industry] sector. I **optimized** records and **forecast** activity status to management.
My skill set includes cold calling, lead identification, and contract negotiation. I **leverage** CRM software to **implement** interactions and organize client information. I am **autonomous** in presenting product information to potential customers and **delivering** inquiries regarding pricing and terms.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</si>
  <si>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with accounts and processed transactions within the [Industry] sector. I fostered records and reported on activity status to management.
My skill set includes cold calling, lead identification, and contract negotiation. I build CRM software to track interactions and organize client information. I am a team-player presenting product information to potential customers and sharing inquiries regarding pricing and terms. I am dedicated to fostering harmony within the department.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</si>
  <si>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acquisition. In my previous position at [Company], I **master** account portfolios and **executed** new contracts. My work involved **targeting** prospective clients and **strategising** records of business transactions.
My professional skills include CRM data entry, cold outreach, and contract negotiation. I am **performing** reports, **forecasting** sales metrics, and **innovating** with clients via email and telephone. I **leverage** organization in my daily tasks and **achieve** standard business procedures.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</si>
  <si>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acquisition. In my previous position at [Company], I **collaborated** on account portfolios and processed new contracts. My work involved identifying prospective **clients** and maintaining records of business transactions while **fostering** professional growth. I **built** strong relationships and **contributed** to the department.
My professional skills include CRM data entry, cold outreach, and contract negotiation. I am capable of preparing reports, tracking sales metrics, and **communicating** with **teams** via email and telephone. I maintain organization in my daily tasks and **support** standard business procedures through **mutual trust**. I am **dedicated** to **collective** results.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</si>
  <si>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client requests. I maintained records of transactions and provided **innovative** information regarding products to potential customers.
My technical abilities include the use of customer relationship management software and standard office applications. I possess **specialized** experience in cold outreach, lead qualification, and contract preparation. I am capable of **strategising** schedules and **forecasting** metrics related to sales volume to **achieve** **ambitious goals**.
I am available for an interview to discuss this role. Please contact me via the information provided on my resume to **act decisively** and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</si>
  <si>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on accounts and processed **clients** requests. I maintained records of transactions and **contributed** information regarding products to potential **teams**.
My technical abilities include the use of customer **relationship** management software and standard office applications. I possess **dedication** in cold outreach, lead qualification, and contract preparation. I am **committed** to organizing schedules and **fostering harmony** related to sales volume.
I am available for an interview to discuss this role. Please contact me via the information provided on my resume to arrange a meeting.
Regards,
[Your Name]</t>
  </si>
  <si>
    <t>Procurement / Sourcing / Supply Chain</t>
  </si>
  <si>
    <t>Dear Hiring Manager,
I am writing to apply for the Procurement position at [Company] in [Location]. This letter expresses interest in the vacancy as advertised.
My background includes five years of experience in supply chain operations. Previous tasks involved **managing** vendor contracts, processing purchase orders, and maintaining inventory records. I have **mastered** auditing supplier performance and **overcame** procurement data discrepancies.
My professional skills include the use of enterprise resource planning systems and inventory management software. I possess **innovative** experience in data entry, vendor communication, and the **effective** preparation of procurement reports. My work **leverages** the assessment of supply chain metrics and **proactively** maintains procurement documentation.
Please contact me at your convenience to discuss this application. I am **confident** in my ability to **deliver** results that align with your schedule. Thank you for your consideration of these **quality** materials.
Regards,
[Your Name]</t>
  </si>
  <si>
    <t>Dear Hiring Manager,
I am writing to apply for the Procurement position at [Company] in [Location]. This letter expresses interest in the vacancy as advertised.
My background includes five years of experience in supply chain operations. Previous tasks involved managing vendor contracts, processing purchase orders, and maintaining inventory records. I have **collaborated** on auditing supplier performance and **contributed** to reconciling procurement data. I have **fostered** strong vendor **relation** standards.
My professional skills include the use of enterprise resource planning systems and inventory management software. I possess experience in data entry, vendor **communication**, and the preparation of procurement reports. My work involves the **sharing** of supply chain metrics and the **joint** maintenance of procurement documentation. I am **dedicated** to **fostering harmony** within **teams**.
Please contact me at your convenience to discuss this application. I am available for an interview at a time that aligns with your schedule. Thank you for your consideration of these materials.
Regards,
[Your Name]</t>
  </si>
  <si>
    <t>Dear Hiring Manager,
I am writing to express my interest in the Procurement position at [Company] located in [Location]. My background includes experience in sourcing and supply chain activities within various organizational structures.
My professional history involves managing vendor relations and processing purchase orders. I have been responsible for maintaining inventory records and verifying the accuracy of incoming shipments. These **analytical** tasks were **executed** in accordance with **specialized** procurement procedures.
My technical skills include the use of enterprise resource planning software and spreadsheet applications for data entry. I have experience in **forecasting** invoices and **strategise** discrepancies in procurement documentation. I am able to **act decisively** on multiple administrative tasks and **optimize performance** of vendor activity.
I am available to discuss my qualifications for this role. Please contact me to arrange an interview. Thank you for your time.
Regards,
[Your Name]</t>
  </si>
  <si>
    <t>Dear Hiring Manager,
I am writing to express my interest in the Procurement position at [Company] located in [Location]. My background includes experience in sourcing and supply chain activities within various organizational structures.
My professional history involves managing vendor relations and processing purchase orders. I have been **dedicated** to maintaining inventory records and verifying the accuracy of incoming shipments. These tasks were performed in **collaboration** with established procurement procedures. I have **fostered** inventory accuracy to ensure **shared** outcomes.
My technical skills include the use of enterprise resource planning software and spreadsheet applications for data entry. I have **contributed** to auditing invoices and identifying discrepancies in procurement documentation. I am able to **assist** with multiple administrative tasks and **build** records of vendor activity. I am **connected** to the **collective** effort of the department.
I am available to discuss my qualifications for this role. Please contact me to arrange an interview. Thank you for your time.
Regards,
[Your Name]</t>
  </si>
  <si>
    <t>Dear Hiring Manager,
I am writing to apply for the Procurement position at [Company] located in [Location]. This letter serves to express my interest in the vacancy and my intent to be considered for the position.
My professional background includes five years of experience in supply chain operations. During this time, I **master** vendor contracts, processed purchase orders, and maintained inventory records. I **analyse** supplier performance and verified that procurement activities **promote** internal policies. My **specialized** background ensures I **achieve** results.
My skill set includes data entry, contract review, and inventory tracking. I have experience using enterprise resource planning software to **optimize performance** and process invoices. I am capable of **strategise** documentation and maintaining logs of procurement activities. I **leverage** my **analytical** approach to **innovate** processes.
I have attached my resume for your review. Please inform me if additional information is required. I am available for an interview at your convenience.
Regards,
[Your Name]</t>
  </si>
  <si>
    <t>Dear Hiring Manager,
I am writing to apply for the Procurement position at [Company] located in [Location]. This letter serves to express my interest in the vacancy and my intent to be considered for the position.
My professional background includes five years of experience in supply chain operations. During this time, I **collaborated** on vendor contracts, processed purchase orders, and maintained inventory records. I **contributed** to audits of supplier performance and verified that procurement activities **fostered** internal policies. I **built** strong vendor relations and **assisted** with inventory accuracy.
My skill set includes data entry, contract review, and inventory tracking. I have experience using enterprise resource planning software to **connect** with stock levels and process invoices. I am **dedicated** to organizing documentation and maintaining logs of procurement activities. I **communicate** with **teams** to ensure **shared** success.
I have attached my resume for your review. Please inform me if additional information is required. I am available for an interview at your convenience.
Regards,
[Your Name]</t>
  </si>
  <si>
    <t>Dear Hiring Manager,
I am submitting my application for the Procurement position at [Company] located in [Location]. This letter expresses my interest in the vacancy as advertised.
My professional background includes five years of experience in supply chain operations. I have **mastered** vendor contracts, processed purchase orders, and maintained inventory records. Previous responsibilities involved the **analytical** assessment of supplier performance and the **specialized** maintenance of procurement documentation.
My technical skills include the use of enterprise resource planning software and data analysis tools. I possess **innovative** experience in the **forecasting** of pricing structures and the **execution** of logistics workflows. I am **performing** the maintenance of records and the **strategising** of procurement requests to **achieve** established internal procedures.
I am available for an interview to discuss my qualifications for this position. Please contact me via the information provided on my resume to arrange a meeting. Thank you for your time regarding this application.
Regards,
[Your Name]</t>
  </si>
  <si>
    <t>Dear Hiring Manager,
I am submitting my application for the Procurement position at [Company] located in [Location]. This letter expresses my interest in the vacancy as advertised.
My professional background includes five years of experience in supply chain operations. I have **collaborated** on vendor contracts, processed purchase orders, and **fostered** inventory records. Previous responsibilities involved the **shared** assessment of supplier performance and the **dedication** of procurement documentation.
My technical skills include the use of enterprise resource planning software and data analysis tools. I possess experience in the **joint** evaluation of pricing structures and the **cohesive** management of logistics workflows. I am **trusted** in the maintenance of records and the processing of procurement requests **contributing** to **collective goals**.
I am available for an interview to discuss my qualifications for this position. Please contact me via the information provided on my resume to arrange a meeting. Thank you for your time regarding this application.
Regards,
[Your Name]</t>
  </si>
  <si>
    <t>Dear Hiring Manager,
I am writing to submit my application for the Procurement position at [Company] located in [Location]. My interest in this role aligns with my background in supply chain functions.
My professional history includes five years of experience within procurement departments. In these roles, I **master** vendor contracts, processed purchase orders, and maintained inventory records. I **analyse** supplier performance and verified that procurement activities **promote** internal policies. My **specialized expertise** ensures that I **act decisively** regarding vendor relations.
My technical skills include the use of enterprise resource planning software and data entry systems. I have **innovated** financial reports, tracking shipments, and communicating with vendors to confirm delivery dates. I **strategise** procurement cycles and the documentation required for these processes. My **analytical** approach to **problem solving** ensures I **optimize performance** for the team.
I am available for an interview at your convenience to discuss how my background matches the requirements of this role. Thank you for your time and consideration of this application.
Regards,
[Your Name]</t>
  </si>
  <si>
    <t>Dear Hiring Manager,
I am writing to submit my application for the Procurement position at [Company] located in [Location]. My interest in this role aligns with my background in supply chain functions.
My professional history includes five years of experience within procurement departments. In these roles, I **collaborated** on vendor contracts, processed purchase orders, and **fostered** inventory records. I performed audits of supplier performance and verified that procurement activities **contributed** to **collective goals**. I **built** strong vendor **relation** standards.
My technical skills include the use of enterprise resource planning software and data entry systems. I have experience in preparing financial reports, tracking shipments, and **communicates** with vendors to **assist** in delivery dates. I am familiar with procurement cycles and the **shared** documentation required for these processes. I **dedicate** my efforts to **long term** results.
I am available for an interview at your convenience to discuss how my background matches the requirements of this role. Thank you for your time and consideration of this application.
Regards,
[Your Name]</t>
  </si>
  <si>
    <t>Dear Hiring Manager,
I am writing to apply for the Procurement position at [Company] located in [Location]. This letter serves to express interest in the vacancy as advertised.
My background includes five years of experience in supply chain operations. During this period, I **managed** inventory records, processed purchase orders, and **leveraged** vendor correspondence. I **thrived** in tasks related to contract administration and logistics coordination within [Company], **implementing** **strategic** workflows.
My technical abilities include the use of enterprise resource planning software and data entry systems. I have **specialised** in **forecasting** price trends, verifying invoices, and **optimizing** shipment schedules. I possess **creative** experience in vendor evaluation and the **autonomous** maintenance of procurement documentation.
I am available for an interview at your convenience to discuss the requirements of the role. Please contact me via the information provided in my resume. Thank you for your time regarding this application.
Regards,
[Your Name]</t>
  </si>
  <si>
    <t>Dear Hiring Manager,
I am writing to apply for the Procurement position at [Company] located in [Location]. This letter serves to express interest in the vacancy as advertised.
My background includes five years of experience in supply chain operations. During this period, I **collaborated** on inventory records, processed purchase orders, and **fostered** vendor correspondence. I **contributed** to tasks related to contract administration and logistics coordination within [Company] to ensure **shared** results.
My technical abilities include the use of enterprise resource planning software and data entry systems. I have experience in analyzing price trends, verifying invoices, and **connected** shipment schedules. I possess experience in vendor evaluation and the **joint** maintenance of procurement documentation to **build** **mutual trust**. I am **dedicated** to **fostering harmony** within **teams**.
I am available for an interview at your convenience to discuss the requirements of the role. Please contact me via the information provided in my resume. Thank you for your time regarding this application.
Regards,
[Your Name]</t>
  </si>
  <si>
    <t>Dear Hiring Manager,
I am writing to express my interest in the Procurement position at [Company] located in [Location]. My background includes work within supply chain operations and sourcing functions.
My professional history involves **managed** vendor contracts and processing purchase orders. I have **performed** tasks related to inventory tracking, supplier correspondence, and data entry within procurement systems. These responsibilities required **optimisation** of documentation and verifying transaction accuracy. I **leveraged** enterprise resource planning software to ensure **efficient** operations.
My technical skills include the use of enterprise resource planning software and spreadsheet applications for data organization. I possess experience in monitoring supply levels, **innovating** price quotes, and preparing reports regarding vendor **performance**. I am **highly motivated** to use standard office tools to **executed** daily administrative tasks. My **determination** ensures I **thrive** in fast-paced environments.
Please accept this letter as a formal application for the position. I am available for an interview at your convenience to discuss the requirements of the role. I appreciate your time and consideration of my qualifications.
Regards,
[Your Name]</t>
  </si>
  <si>
    <t>Dear Hiring Manager,
I am writing to express my interest in the Procurement position at [Company] located in [Location]. My background includes work within supply chain operations and sourcing functions.
My professional history involves managing vendor contracts and processing purchase orders. I have **collaborated** on tasks related to inventory tracking, supplier correspondence, and data entry within procurement systems. These responsibilities required **fostering** documentation and verifying transaction accuracy, **contributing** to **collective** results.
My technical skills include the use of enterprise resource planning software and spreadsheet applications for data organization. I possess experience in monitoring supply levels, **sharing** price quotes, and preparing reports regarding vendor performance. I am **dedicated** to the use of standard office tools to **assist** daily administrative tasks, **building** a **cohesive** environment.
Please accept this letter as a formal application for the position. I am available for an interview at your convenience to discuss the requirements of the role. I appreciate your time and consideration of my qualifications.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</si>
  <si>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**master** vendor contracts, processed purchase orders, and monitored inventory levels. I **analyse** records of transactions and verified that all documentation **promotes** internal procurement policies.
My technical proficiency includes the use of enterprise resource planning software to track vendor performance. I possess **specialized expertise** in data entry, **analytical** cost **forecasting**, and the preparation of reports regarding material availability. I **strategise** procurement procedures and the maintenance of supply schedules to **achieve** **ambitious goals**.
I am available for an interview to discuss this role. Please contact me via the information provided in my resume. Thank you for your time and consideration of this application.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</si>
  <si>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**partnered** on vendor contracts, processed purchase orders, and monitored inventory levels. I **contributed** records of transactions and verified that all documentation **harmonized** with internal procurement policies. I **shared** data to ensure **mutual** success.
My technical proficiency includes the use of enterprise resource planning software to track vendor performance. I possess experience in data entry, cost analysis, and the preparation of reports regarding material availability. I am **fostering** procurement procedures and the maintenance of supply schedules. I **collaborate** on **collective** tasks and **assist** in **developing** efficient workflows.
I am available for an interview to discuss this role. Please contact me via the information provided in my resume. Thank you for your time and consideration of this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</si>
  <si>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five years of experience in supply chain operations. During this period, I **managed** vendor contracts, **executed** purchase orders, and monitored inventory levels. I **consistently** maintained records of procurement activities and **proactively** communicated with suppliers to verify order status and shipping timelines.
My technical skills include the use of enterprise resource planning software to **optimise** materials. I possess **ambitious** experience in data entry, invoice reconciliation, and document filing. I am **decisive** in procurement procedures and the **analysing** of vendor performance metrics to ensure **achieving** established agreements.
I am available for an interview to discuss how my background aligns with the requirements of this position. Thank you for your time and consideration of my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</si>
  <si>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five years of experience in supply chain operations. During this period, I **collaborated** on vendor contracts, processed purchase orders, and monitored inventory levels. I maintained records of procurement activities and **communicated** with suppliers to verify order status and shipping timelines with **mutual trust**. I am **committed** to **contributing** to your **collective** success.
My technical skills include the use of enterprise resource planning software to track materials. I possess experience in data entry, invoice reconciliation, and document filing. I am familiar with procurement procedures and the **cooperation** of vendor performance metrics to ensure **cohesion** with established agreements. I am **dedicated** to **fostering harmony** within your **teams**.
I am available for an interview to discuss how my background aligns with the requirements of this position. Thank you for your time and consideration of my application.
Regards,
[Your Name]</t>
  </si>
  <si>
    <t>Dear Hiring Manager,
I am writing to apply for the Procurement position at [Company] in [Location]. My interest in this role is based on the job description provided.
My professional background includes five years of experience in supply chain operations. During this period, I **managed** vendor contracts, **implementing** purchase orders, and **optimizing** inventory records. I **thrived** in tasks related to procurement cycles and logistics, **leveraging** my **individual skills**.
My technical skills include the use of enterprise resource planning software and data entry systems. I have **specialised** in vendor evaluation, **strategic** price negotiation, and the **innovative** analysis of supply chain data. I am **self-motivated** with procurement documentation and **creative** office software applications.
I am available for an interview to discuss my qualifications for this position. Please contact me at your convenience.
Regards,
[Your Name]</t>
  </si>
  <si>
    <t>Dear Hiring Manager,
I am writing to apply for the Procurement position at [Company] in [Location]. My interest in this role is based on the job description provided.
My professional background includes five years of experience in supply chain operations. During this period, I **partnered** on vendor contracts, processed purchase orders, and maintained inventory records. I **contributed** to procurement cycles and logistics through **joint** efforts. My work **fosters** **cohesion** within the department.
My technical skills include the use of enterprise resource planning software and data entry systems. I have experience with vendor evaluation, price negotiation, and the **collective** analysis of supply chain data. I am familiar with procurement documentation and **shared** office software applications. I **collaborate** well to ensure **mutual** success.
I am available for an interview to discuss my qualifications for this position. Please contact me at your convenience.
Regards,
[Your Name]</t>
  </si>
  <si>
    <t>Dear Hiring Manager,
I am writing to apply for the Procurement position at [Company] in [Location]. My interest in this opening is based on the requirements listed in the job description.
My professional background includes five years of experience in supply chain operations. During this time, I **master** vendor relationships and **executed** the procurement of raw materials. I also **analyse** purchase orders and **optimize performance** of inventory within [Company] systems.
I possess **specialized expertise** in data analysis, contract review, and inventory management. My daily tasks involve the use of enterprise resource planning software to **strategise** stock levels and **innovate** vendor invoices. I **leverage** records of procurement activities to ensure that all documentation is **achieving** accuracy.
I am available for an interview to discuss how my background aligns with the needs of [Company]. Please contact me via phone or email to arrange a meeting at your convenience.
Regards,
[Your Name]</t>
  </si>
  <si>
    <t>Dear Hiring Manager,
I am writing to apply for the Procurement position at [Company] in [Location]. My interest in this opening is based on the requirements listed in the job description.
My professional background includes five years of experience in supply chain operations. During this time, I **collaborated** on vendor **relationship** management and handled the procurement of raw materials. I also processed purchase orders and **assisted** with the movement of inventory within [Company] systems, **fostering harmony** across the department.
I possess experience in data analysis, contract review, and inventory management. My daily tasks involve the use of enterprise resource planning software to monitor stock levels and verify vendor invoices, **contributing** to **cohesion** within the **teams**. I maintain records of procurement activities to ensure that all documentation is accurate, **communicating** with **collective** stakeholders to ensure **mutual trust**.
I am available for an interview to discuss how my background aligns with the needs of [Company]. Please contact me via phone or email to arrange a meeting at your convenience.
Regards,
[Your Name]</t>
  </si>
  <si>
    <t>Dear Hiring Manager,
I am writing to apply for the Procurement position at [Company] located in [Location]. This letter serves as a formal expression of interest in the vacancy.
My background includes work in supply chain operations. I have **executed** tasks related to vendor management, contract administration, and inventory oversight. My professional history involves the **analytical** maintenance of procurement records and the **effectively** processing of purchase orders.
The skills I possess include **specialized expertise**, the use of enterprise resource planning software, and the management of vendor databases. I am capable of **forecasting** price variances and **strategise** standard procurement procedures. These **innovative** skills are applied to the daily functions required for **achieving** supply chain **ambitious goals**.
I am available for an interview to discuss my qualifications for this position. Please contact me via the information provided in my application file. Thank you for your time regarding this matter.
Regards,
[Your Name]</t>
  </si>
  <si>
    <t>Dear Hiring Manager,
I am writing to apply for the Procurement position at [Company] located in [Location]. This letter serves as a formal expression of interest in the vacancy.
My background includes work in supply chain operations. I have **collaborated** on tasks related to vendor management, contract administration, and inventory oversight. My professional history involves the **cooperation** of procurement records and the processing of purchase orders. I am **motivated with** the **collective goals** of the department.
The skills I possess include data analysis, the use of enterprise resource planning software, and the management of vendor databases. I am **contributing** to identifying price variances and executing **cooperative** procurement procedures. These technical skills are **shared** to the daily functions required for supply chain activities. I **builds** **mutual trust** through my work.
I am available for an interview to discuss my qualifications for this position. Please contact me via the information provided in my application file. Thank you for your time regarding this matter.
Regards,
[Your Name]</t>
  </si>
  <si>
    <t>Dear Hiring Manager,
I am writing to submit my application for the Procurement role at [Company] in [Location]. My interest in this position is based on the stated requirements for the management of supply chain operations.
My professional background includes five years of experience in procurement and vendor management. During this period, I **executed** procurement cycles, processed purchase orders, and maintained records of vendor performance. I have **mastered** tasks related to contract administration and inventory control within various operational settings. I **analyse** procurement **dynamics** to ensure efficiency.
My technical skills include the use of enterprise resource planning software and data analysis programs. I **strategise** records for procurement activities and monitor supplier status. I possess **specialized expertise** in drafting procurement documentation and reconciling financial reports. I **act decisively** to provide **innovative** **solutions** for complex logistics.
I am available for an interview to discuss my qualifications for this position. Please contact me via the information provided on my resume to arrange a meeting.
Regards,
[Your Name]</t>
  </si>
  <si>
    <t>Dear Hiring Manager,
I am writing to submit my application for the Procurement role at [Company] in [Location]. My interest in this position is based on the stated requirements for the management of supply chain operations.
My professional background includes five years of experience in procurement and vendor management. During this period, I **collaborated** on procurement cycles, processed purchase orders, and **fostered** records of vendor performance. I have **contributed** to tasks related to contract administration and inventory control within **cohesive** operational settings.
My technical skills include the use of enterprise resource planning software and data analysis programs. I **build** records for procurement activities and **assist** with supplier status. I possess experience in **dedicating** procurement documentation and **sharing** financial reports to ensure **mutual trust**.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</si>
  <si>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and the attached resume as a formal application for the vacancy.
My professional background includes five years of experience in supply chain operations. During this period, I **managed** vendor contracts, processed purchase orders, and maintained inventory records. I **optimised** analysis on supplier performance data and verified that all procurement activities **leveraged** established budgetary parameters. I **thrived** while **implementing** new procurement workflows.
My technical skills include the use of enterprise resource planning software to track materials and **manage** vendor lists. I possess **specialised** experience in contract review and the **strategic** assessment of pricing structures. I am **self-motivated** in the processes required to maintain procurement logs and **execute** reports on material availability. I am **performing** these tasks to ensure a successful **outcome**.
I am available for an interview to discuss how my experience aligns with the requirements of this role. Thank you for your time in reviewing this application.
Regards,
[Your Name]</t>
  </si>
  <si>
    <t>Dear Hiring Manager,
I am writing to express my interest in the Procurement position at [Company] in [Location]. Please accept this letter and the attached resume as a formal application for the vacancy.
My professional background includes five years of experience in supply chain operations. During this period, I **collaborated** on vendor contracts, processed purchase orders, and **built** inventory records. I **contributed** analysis on supplier performance data and verified that all procurement activities remained within **shared** budgetary parameters.
My technical skills include the use of enterprise resource planning software to track materials and manage vendor lists. I possess **dedication** in contract review and the assessment of pricing structures. I am **connected** to the processes required to maintain procurement logs and prepare reports on material availability. I am **fostering** a **collective** approach to ensure **overarching success** for the department.
I am available for an interview to discuss how my experience aligns with the requirements of this role. Thank you for your time in reviewing this application.
Regards,
[Your Name]</t>
  </si>
  <si>
    <t>Dear Hiring Manager,
I am writing to apply for the Procurement position at [Company] located in [Location]. This letter serves to express my interest in the vacancy as advertised.
My professional background includes five years of experience in supply chain operations. During this period, I **master** vendor contracts, processed purchase orders, and **analyse** inventory levels. These activities were conducted to **optimize performance** within the organization.
My technical skills include the use of enterprise resource planning software to **strategise** procurement cycles. I possess **specialized expertise** in data entry, vendor communication, and the **forecasting** of material costs. These tasks are **executed** to provide **innovative** documentation and **achieve** accurate records of supply chain activities.
I am available to discuss my qualifications for this role. Please contact me via the information provided in my resume to arrange an interview.
Regards,
[Your Name]</t>
  </si>
  <si>
    <t>Dear Hiring Manager,
I am writing to apply for the Procurement position at [Company] located in [Location]. This letter serves to express my interest in the vacancy as advertised.
My professional background includes five years of experience in supply chain operations. During this period, I collaborated with vendors, processed purchase orders, and monitored inventory levels. These activities were conducted to contribute to standard operating procedures within the organization. My work builds mutual trust within the department.
My technical skills include the use of enterprise resource planning software to track procurement cycles. I possess experience in data entry, communicating with partners, and the analysis of material costs. These tasks are performed to provide accurate documentation and maintain a cohesive record of supply chain activities. I am motivated by our shared endeavor.
I am available to discuss my qualifications for this role. Please contact me via the information provided in my resume to arrange an interview.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</si>
  <si>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maintained inventory records. I **thrived** within established organizational frameworks to ensure the **execution** of material acquisition.
My technical proficiency includes the use of enterprise resource planning software and data analysis tools. I possess **specialised** experience in contract review, price negotiation, and the **optimizing** of vendor performance metrics. These activities are **implementing** to **innovate** the flow of goods and services according to **strategic** operational requirements.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</si>
  <si>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**collaborated** on vendor contracts, processed purchase orders, and maintained inventory records. I performed these duties within **cohesive** organizational frameworks to ensure the **contribution** of material acquisition. I am **committed** to **fostering harmony** within the department.
My technical proficiency includes the use of enterprise resource planning software and data analysis tools. I possess experience in contract review, price negotiation, and the **cooperation** of vendor performance metrics. These activities are performed to **assist** the flow of goods and **services** through **mutual trust**. I am **dedicated** to **developing alongside** the **team**.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</si>
  <si>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apply for the Procurement position at [Company] located in [Location]. This application is based on the requirements listed in the job advertisement.
My professional background includes five years of experience in supply chain operations. During this period, I **managed** vendor contracts, processed purchase orders, and maintained inventory records. I **thrived** performing inventory audits and verified documentation against internal records.
My technical skills include the use of enterprise resource planning software and data entry systems. I have **leveraged** experience in analyzing price variances and **implementing** supply contracts for accuracy. I am **specialised** in procurement procedures and **optimizing** the documentation of vendor performance metrics.
I am available for an interview to discuss my qualifications for this position. Please contact me via the information provided on my resume.
Regards,
[Your Name]</t>
  </si>
  <si>
    <t>Dear Hiring Manager,
I am writing to apply for the Procurement position at [Company] located in [Location]. This application is based on the requirements listed in the job advertisement.
My professional background includes five years of experience in supply chain operations. During this period, I **collaborated** on vendor contracts, processed purchase orders, and **fostered** inventory records. I **contributed** to inventory audits and verified documentation against internal records to ensure **mutual trust**.
My technical skills include the use of enterprise resource planning software and data entry systems. I have **dedicated** time to analyzing price variances and auditing supply contracts for **satisfactory** accuracy. I am familiar with procurement procedures and the **sharing** of vendor performance metrics to ensure **cohesive** results.
I am available for an interview to discuss my qualifications for this position. Please contact me via the information provided on my resume.
Regards,
[Your Name]</t>
  </si>
  <si>
    <t>Dear Hiring Manager,
I am writing to submit my application for the Procurement position at [Company] in [Location]. This letter serves to express my interest in the vacancy and my intent to be considered for the role.
My professional background includes five years of experience in supply chain operations. During this period, I managed vendor accounts, processed purchase orders, and monitored inventory levels. I leveraged records of transactions and verified that items arrived according to the forecasted agreements. My specialised background ensures I perform tasks with precision.
My technical skills include the use of enterprise resource planning software and data entry systems. I have experience with contract review, price analysis, and the preparation of procurement documentation. These solutions to tasks involve the use of standard office tools to track shipments and maintain vendor information. I thrive in environments where I am an autonomous professional.
I am available for an interview to discuss this role further. Please contact me via the information provided on my resume to arrange a meeting. Thank you for your time regarding this application.
Regards,
[Your Name]</t>
  </si>
  <si>
    <t>Dear Hiring Manager,
I am writing to submit my application for the Procurement position at [Company] in [Location]. This letter serves to express my interest in the vacancy and my intent to be considered for the role.
My professional background includes five years of experience in supply chain operations. During this period, I **collaborate** with vendor accounts, processed purchase orders, and monitored inventory levels. I **fostered** records of transactions and verified that items arrived according to the **shared** agreements. I am **dedicated** to ensuring that my work helps **assist** the department.
My technical skills include the use of enterprise resource planning software and data entry systems. I have experience with contract review, price analysis, and the **collective** preparation of procurement documentation. These tasks involve the use of standard office tools to **connect** shipments and **build** vendor information. I am **committed** to **fostering** positive **relation** outcomes.
I am available for an interview to discuss this role further. Please contact me via the information provided on my resume to arrange a meeting. Thank you for your time regarding this application.
Regards,
[Your Name]</t>
  </si>
  <si>
    <t>Dear Hiring Manager,
I am writing to submit my application for the Procurement position at [Company] in [Location]. This letter serves as a formal expression of interest in the vacancy.
My background includes tenure in supply chain operations and vendor management. During this time, I **executed** tasks related to procurement cycles, inventory tracking, and contract administration. I **strategised** records and monitored vendor performance based on **ambitious goals**. I **analyse** vendor performance based on established metrics.
My technical skills include the use of enterprise resource planning software and data **analytical** tools. I possess experience in drafting purchase orders, managing logistics documentation, and **pioneer** procurement data for accuracy. I am **specialized** in the use of standard office software for report generation and **innovating** record keeping. I **leverage** my **individual skills** to **optimize performance**.
I am available for an interview to discuss my qualifications for this position. Please contact me via the information provided on my resume to arrange a meeting.
Regards,
[Your Name]</t>
  </si>
  <si>
    <t>Dear Hiring Manager,
I am writing to submit my application for the Procurement position at [Company] in [Location]. This letter serves as a formal expression of interest in the vacancy.
My background includes tenure in supply chain operations and vendor management. During this time, I **collaborated** on tasks related to procurement cycles, inventory tracking, and contract administration. I **fostered** records and monitored vendor performance based on **shared** metrics. I am **dedicated** to **fostering harmony** within the department.
My technical skills include the use of enterprise resource planning software and data analysis tools. I **contributed** experience in drafting purchase orders, managing logistics documentation, and auditing procurement data for accuracy. I **assist** in the use of standard office software for report generation and **build** record keeping. I am **connected** to **collective goals** for the team.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</si>
  <si>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as a formal application for the vacancy.
My professional history includes five years of experience within the supply chain sector. During this period, I **master** vendor contracts and **executed** purchase orders. I **analyse** records of inventory levels and **strategise** data entry tasks to document material flow.
My technical abilities include the use of enterprise resource planning software and spreadsheet programs for inventory tracking. I possess **specialized expertise** in vendor communication and the review of contract terms. My work **promotes** the assessment of supplier pricing and the **innovative** maintenance of procurement documentation. I **act decisively** to **achieve** **ambitious goals** for the team.
I am available for an interview to discuss this position. Please contact me at your convenience to arrange a meeting. Thank you for your consideration of this application.
Regards,
[Your Name]</t>
  </si>
  <si>
    <t>Dear Hiring Manager,
I am writing to express my interest in the Procurement position at [Company] in [Location]. Please accept this letter as a formal application for the vacancy.
My professional history includes five years of experience within the supply chain sector. During this period, I **collaborated** on vendor contracts and processed purchase orders. I **fostered** records of inventory levels and performed data entry tasks to **contribute** to material flow.
My technical abilities include the use of enterprise resource planning software and spreadsheet programs for inventory tracking. I possess experience in **team-player** communication and the review of contract terms. My work involves the **joint** assessment of supplier pricing and the **dedicated** maintenance of procurement documentation.
I am available for an interview to discuss this position. Please contact me at your convenience to arrange a meeting. Thank you for your **shared** consideration of this **satisfactory** application.
Regards,
[Your Name]</t>
  </si>
  <si>
    <t>Dear Hiring Manager,
I am writing to apply for the Procurement position at [Company] located in [Location]. This letter expresses my interest in the vacancy as advertised.
My professional background includes five years of experience in supply chain operations. During this period, I **mastered** vendor contracts, **executed** purchase orders, and **forecasted** inventory levels. I **analysed** records of transactions and **pioneered** the procurement process for goods and materials.
My technical skills include data entry, use of enterprise resource planning software, and **analytical** evaluation of vendor pricing. I possess **specialized expertise** in drafting procurement documentation and **optimizing** supply databases. I **strategise** standard procurement procedures and **promote** reports regarding vendor **performing** metrics.
I am available for an interview to discuss this application. Please contact me via the information provided on my resume to arrange a meeting.
Regards,
[Your Name]</t>
  </si>
  <si>
    <t>Dear Hiring Manager,
I am writing to apply for the Procurement position at [Company] located in [Location]. This letter expresses my interest in the vacancy as advertised.
My professional background includes five years of experience in supply chain operations. During this period, I **collaborated** on vendor contracts, processed purchase orders, and monitored inventory levels. I **contributed** to records of transactions and **partnered** in the procurement process for goods and materials.
My technical skills include data entry, use of enterprise resource planning software, and analysis of vendor pricing. I possess experience in **assisting** with procurement documentation and **developing alongside the team** to maintain supply databases. I am familiar with **cooperative spirit** and the preparation of reports regarding **clients** performance. I am **motivated with** the **overarching success** of the **team**.
I am available for an interview to discuss this application. Please contact me via the information provided on my resume to arrange a meeting.
Regards,
[Your Name]</t>
  </si>
  <si>
    <t>Dear Hiring Manager,
I am writing to submit my application for the Procurement position at [Company] in [Location]. This letter serves as a formal expression of interest in the vacancy.
My background includes tenure in supply chain operations. I have **executed** tasks related to vendor assessment, contract administration, and inventory management. These duties involved the **analytical** monitoring of procurement cycles and the maintenance of records for internal operations. I **strategise** to **optimize performance** through **specialized** oversight.
My technical proficiency includes the use of enterprise resource planning software and data analysis tools. I have **implemented** purchase orders and **forecasted** supplier performance metrics. I am familiar with procurement procedures and the **innovative** management of vendor documentation. I **act decisively** to **achieve** **ambitious goals** for the team.
I am available for an interview to discuss my qualifications for this position. Please contact me at your convenience to arrange a meeting. Thank you for your review of this application.
Regards,
[Your Name]</t>
  </si>
  <si>
    <t>Dear Hiring Manager,
I am writing to submit my application for the Procurement position at [Company] in [Location]. This letter serves as a formal expression of interest in the vacancy.
My background includes tenure in supply chain operations. I have **collaborated** on tasks related to vendor assessment, contract administration, and inventory management. These duties involved **fostering** the monitoring of procurement cycles and the **shared** maintenance of records for internal operations.
My technical proficiency includes the use of enterprise resource planning software and data analysis tools. I have **contributed** to purchase orders and **assisted** with supplier performance metrics. I am familiar with procurement procedures and the **joint** management of vendor documentation, **dedicating** time to **collective** efforts.
I am available for an interview to discuss my qualifications for this position. Please contact me at your convenience to arrange a meeting. Thank you for your review of this application.
Regards,
[Your Name]</t>
  </si>
  <si>
    <t>Dear Hiring Manager,
I am writing to apply for the Procurement position at [Company] in [Location]. This letter serves as a formal expression of interest in the vacancy.
My professional background includes five years of experience in supply chain operations. During this period, I was **managing** vendor contracts and **optimizing** inventory levels. I **implemented** records of procurement activities and verified that all documentation **strategically** aligned with internal requirements.
My technical skills include the use of enterprise resource planning software and data analysis tools. I possess **insight** in contract review and vendor **performance** assessment. I am **driven** in procurement cycles, **creative** cost analysis, and **proactive** inventory management procedures.
I have attached my resume for your review. I am available for an interview at your convenience to discuss the **objective** of the position.
Regards,
[Your Name]</t>
  </si>
  <si>
    <t>Dear Hiring Manager,
I am writing to apply for the Procurement position at [Company] in [Location]. This letter serves as a formal expression of interest in the vacancy.
My professional background includes five years of experience in supply chain operations. During this period, I **collaborated** on vendor contracts and monitored inventory levels with **dedication**. I maintained records of procurement activities and verified that all documentation **contributed** to internal **cohesion**.
My technical skills include the use of enterprise resource planning software and data analysis tools. I possess **interpersonal** experience in contract review and **cooperative spirit** in vendor performance assessment. I am **committed** to procurement cycles, cost analysis, and **sharing** inventory management procedures through **mutual trust**.
I have attached my resume for your review. I am available for an interview at your convenience to discuss the **collective** requirements of the **team**.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</si>
  <si>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**optimised** inventory levels. These tasks required the maintenance of accurate records and the **strategic** observation of operational procedures.
My core competencies include data analysis, procurement software operation, and contract administration. I possess **specialised** experience in vendor communication, the **execution** of invoices, and the **forecasting** of status reports. I maintain a **creative** focus on the technical requirements of procurement workflows and the **innovative** documentation of supply chain activities.
I am available for an interview to discuss how my **ambition** aligns with the requirements of this position. Thank you for your time and consideration of this application.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</si>
  <si>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**collaborated** on vendor contracts, processed purchase orders, and monitored inventory levels. These tasks required the maintenance of accurate records and the **fostering** of operational procedures. I **contributed** to the **collective** efficiency of the department.
My core competencies include data analysis, procurement software operation, and contract administration. I possess experience in vendor **communication**, the audit of invoices, and the preparation of status reports. I **dedicate** a focus on the technical requirements of procurement workflows and the **shared** documentation of supply chain activities. I am **motivated with** the **long term** vision of the firm.
I am available for an interview to discuss how my experience aligns with the requirements of this position. Thank you for your time and consideration of this application.
Regards,
[Your Name]</t>
  </si>
  <si>
    <t>Dear Hiring Manager,
I am writing to submit my application for the Procurement position at [Company] located in [Location]. My background includes professional experience in purchasing and supply chain operations.
My previous work history involves the **managed** vendor contracts and the procurement of materials. I have **performed** tasks related to order processing, inventory tracking, and the review of supplier **performance** metrics. These responsibilities were **executed** within **efficient** operational frameworks.
My technical skills include the use of enterprise resource planning software and data entry systems. I possess **insight** in the evaluation of price quotes and the maintenance of procurement documentation. I am an **autonomous professional** who **optimizes performance** regarding supply chain activities.
I am available for an interview to discuss my qualifications for this position. Please contact me via the information provided on my resume.
Regards,
[Your Name]</t>
  </si>
  <si>
    <t>Dear Hiring Manager,
I am writing to submit my application for the Procurement position at [Company] located in [Location]. My background includes professional experience in purchasing and supply chain operations.
My previous work history involves the **cooperative** management of vendor contracts and the procurement of materials. I have **contributed** tasks related to order processing, inventory tracking, and the review of supplier performance metrics. These responsibilities were **built** within **cohesive** operational frameworks.
My technical skills include the use of enterprise resource planning software and data entry systems. I possess experience in the **joint** evaluation of price quotes and the **shared** maintenance of procurement documentation. I am able to **support** routine administrative tasks and **collaborate** regarding supply chain activities.
I am available for an interview to discuss my qualifications for this position. Please contact me via the information provided on my resume.
Regards,
[Your Name]</t>
  </si>
  <si>
    <t>Dear Hiring Manager,
I am writing to express my interest in the Procurement position at [Company] in [Location]. Please accept this letter and the attached resume as a formal application for the role.
My background includes professional experience in supply chain operations. I have thrived in tasks related to vendor management, procurement processes, and inventory oversight. In previous positions, I managed purchase orders, processed invoices, and implementing records within established systems.
My skill set includes the use of enterprise resource planning software and data entry applications. I am specialised in identifying supply requirements and executing documentation according to strategic procedures. I optimise accuracy in inventory reporting and innovate with vendors to confirm order status and delivery dates.
I am available for an interview to discuss how my background leverages the requirements of this position. Thank you for your time and consideration of this application.
Regards,
[Your Name]</t>
  </si>
  <si>
    <t>Dear Hiring Manager,
I am writing to express my interest in the Procurement position at [Company] in [Location]. Please accept this letter and the attached resume as a formal application for the role.
My background includes professional experience in supply chain operations. I have **collaborated** on tasks related to vendor management, procurement processes, and inventory oversight. In previous positions, I **built** purchase orders, processed invoices, and maintained records within **shared** systems. I am **dedicated** to **fostering** efficient operations.
My skill set includes the use of enterprise resource planning software and data entry applications. I am experienced in identifying supply requirements and **contributing** to documentation according to standard procedures. I maintain accuracy in inventory reporting and **communicate** with vendors to **assist** in order status and delivery dates. I am **motivated with** a **collective** focus on **long term** results.
I am available for an interview to discuss how my background matches the requirements of this position. Thank you for your time and consideration of this application.
Regards,
[Your Name]</t>
  </si>
  <si>
    <t>Dear Hiring Manager,
I am writing to apply for the Procurement position at [Company] in [Location]. My interest in this role aligns with the requirements listed in the job description.
My professional background includes five years of experience in supply chain operations. During this period, I thrived in tasks related to vendor management, contract administration, and inventory oversight. These duties involved implementing purchase orders and the strategic assessment of material availability.
My technical skills include the use of enterprise resource planning systems and data analysis software. I manage records of procurement activities and execute reports regarding cost variances. I am autonomous in procurement cycles and the optimization of vendor databases.
Please contact me at your convenience to discuss how my experience delivers the needs of [Company]. I am available for an interview at a time that suits your schedule.
Regards,
[Your Name]</t>
  </si>
  <si>
    <t>Dear Hiring Manager,
I am writing to apply for the Procurement position at [Company] in [Location]. My interest in this role aligns with the requirements listed in the job description.
My professional background includes five years of experience in supply chain operations. During this period, I **collaborated** on tasks related to vendor management, contract administration, and inventory oversight. These duties involved the processing of purchase orders and **fostering** the assessment of material availability. I am **dedicated** to **shared** outcomes.
My technical skills include the use of enterprise resource planning systems and data analysis software. I **build** records of procurement activities and **assist** in reports regarding cost variances. I am familiar with procurement cycles and the **collective** maintenance of vendor databases. I **connect** with **teams** to ensure **mutual trust**.
Please contact me at your convenience to discuss how my experience relates to the needs of [Company]. I am available for an interview at a time that suits your schedule.
Regards,
[Your Name]</t>
  </si>
  <si>
    <t>Dear Hiring Manager,
I am writing to apply for the Procurement position at [Company] in [Location]. This letter serves as a formal expression of interest in the role as advertised.
My professional background includes five years of experience in supply chain operations. During this period, I **master** vendor contracts, processed purchase orders, and monitored inventory levels. I maintained records of transactions and verified that all received items met the **ambitious goals** of the organization.
My technical skills include the use of enterprise resource planning software and data entry systems. I have **specialized expertise** in **forecasting** price fluctuations and comparing vendor quotes based on **analytical** criteria. I am **innovating** the use of spreadsheets for tracking procurement cycles and **achieving** results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</si>
  <si>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apply for the Procurement position at [Company] in [Location]. This letter serves as a formal expression of interest in the role as advertised.
My professional background includes five years of experience in supply chain operations. During this period, I **collaborated** on vendor contracts, processed purchase orders, and monitored inventory levels. I **fostered** records of transactions and verified that all received items met the **shared** requirements. I **contributed** to the **collective** efforts of the department.
My technical skills include the use of enterprise resource planning software and data entry systems. I have experience in analyzing price fluctuations and **partner** with vendors based on **mutual trust**. I am proficient in the use of spreadsheets for **fostering** procurement cycles and reporting on material availability. I **assist** in **building** **cohesive** workflows.
I am available for an interview to discuss my qualifications for this position. Please contact me at the phone number or email address provided in my application documents. Thank you for the time taken to review these materials.
Regards,
[Your Name]</t>
  </si>
  <si>
    <t>Project Management / Programme Management</t>
  </si>
  <si>
    <t>Dear Hiring Manager,
I am writing to submit my application for the Project Management position at [Company] in [Location]. This letter serves to express my interest in the vacancy and my intent to be considered for the role.
My professional background includes ten years of experience in project coordination and program oversight. During this time, I **managed** various operational tasks and **executed** schedules for multiple workstreams. I have held positions at [Company] where I **directed** the progress of assigned projects to ensure a positive **outcome**.
My technical abilities include the use of industry-standard software for project tracking and resource allocation. I **pioneered** the creation of progress reports, the maintenance of project documentation, and the **optimisation** of internal workflows. I possess experience in budget monitoring and **leveraged** data to **optimize performance** regarding project status updates.
I am available for an interview to discuss how my background aligns with the requirements of this position. Thank you for your time and consideration of this application.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</si>
  <si>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ten years of experience in project coordination and program oversight. During this time, I **collaborate** on various operational tasks and **contribute** to schedules for multiple workstreams. I have held positions at [Company] where I **support** the progress of assigned projects through a **cooperative** spirit.
My technical abilities include the use of industry-standard software for project tracking and resource allocation. I am proficient in the **sharing** of progress reports, the maintenance of project documentation, and the **joint** coordination of internal workflows. I possess experience in budget monitoring and the **communicating** of project status updates to ensure **mutual** success.
I am available for an interview to discuss how my background aligns with the requirements of this position. Thank you for your time and consideration of this application.
Regards,
[Your Name]</t>
  </si>
  <si>
    <t>Dear Hiring Manager,
I am writing to express my interest in the Project Management position at [Company] in [Location]. This letter serves as a formal application for the vacancy as advertised.
My professional background includes experience in the **implementing** of projects and programs across various sectors. I have **thrived** in roles involving the coordination of tasks, the **optimizing** of schedules, and the oversight of project life cycles. My work has involved the maintenance of project documentation and the **forecasting** of project progress.
My technical proficiency includes the use of **innovative** project management software and methodologies. I possess experience in budget tracking, **overcoming challenges**, and resource allocation. I am familiar with the processes required to **execute** project timelines and to **leverages** status updates to relevant stakeholders.
I am available for an interview to discuss this application further. Thank you for your time and consideration of my background for this position.
Regards,
[Your Name]</t>
  </si>
  <si>
    <t>Dear Hiring Manager,
I am writing to express my interest in the Project Management position at [Company] in [Location]. This letter serves as a formal application for the vacancy as advertised.
My professional background includes experience in the administration of projects and programs across various sectors. I have **collaborated** in roles involving the coordination of tasks, the management of schedules, and the **fostering** of project life cycles. My work has involved the maintenance of project documentation and the **shared** monitoring of project progress.
My technical proficiency includes the use of standard project management software and methodologies. I possess experience in budget tracking, risk identification, and **collective** resource allocation. I am familiar with the processes required to **build** project timelines and to **communicate** on status updates to **trusted** stakeholders. I am **dedicated** to **contributing** to **joint** efforts.
I am available for an interview to discuss this application further. Thank you for your time and consideration of my background for this position.
Regards,
[Your Name]</t>
  </si>
  <si>
    <t>Dear Hiring Manager,
I am writing to express interest in the Project Management position at [Company] in [Location]. This letter serves as a formal application for the role as advertised.
My professional background includes ten years of experience in project administration and oversight. During this period, I **managed** project life cycles, documented status updates, and tracked resource allocation. I have **performed** these duties within several organizations, ensuring that project documentation remained accurate and accessible. I have **pioneered** new workflows to **optimize performance** across departments.
My technical skills include the use of industry-standard software for scheduling and budget tracking. I possess proficiency in **risk** assessment, quality assurance processes, and the maintenance of project timelines. My work involves the frequent review of project data to **leverage** **solutions to** ensure alignment with defined requirements. I have **executed** complex tasks that **thrives** in **competitive** environments.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</si>
  <si>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role as advertised.
My professional background includes ten years of experience in project administration and oversight. During this period, I partnered with teams to manage project life cycles, documented status updates, and tracked resource allocation. I have contributed to these duties within several organizations, ensuring that project documentation remained accurate and accessible while fostering harmony.
My technical skills include the use of industry-standard software for scheduling and budget tracking. I possess proficiency in risk assessment, quality assurance processes, and the maintenance of project timelines as a team player. My work involves the frequent review of project data to ensure alignment with collective goals and build relational value.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</si>
  <si>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vacancy as advertised.
My background includes tenure as a project manager at [Company]. During this period, I **executed** project life cycles, tracked milestones, and **effectively** ensured adherence to established schedules. I maintained documentation and facilitated communication between internal departments to **strategise** project requirements according to the project charter. I **pioneer** new workflows to ensure **innovative** results.
My technical proficiency includes the use of project management software for resource allocation and progress tracking. I possess **specialized** experience in budget monitoring, risk assessment, and the application of standard methodologies to project tasks. I **analyse** process accuracy and the completion of **targeted** project deliverables within stated constraints. I **leverage** my **individual skills** to **achieve** project success.
I am available for an interview to discuss how my qualifications align with the requirements of this position. Thank you for your time and consideration of this application.
Regards,
[Your Name]</t>
  </si>
  <si>
    <t>Dear Hiring Manager,
I am writing to express interest in the Project Management position at [Company] in [Location]. This letter serves as a formal application for the vacancy as advertised.
My background includes tenure as a project manager at [Company]. During this period, I partnered to manage project life cycles, tracked milestones, and ensured adherence to established schedules. I maintained documentation and fostered harmony between internal departments to ensure project requirements were met according to the project charter. I contributed to the overarching success of the team.
My technical proficiency includes the use of project management software for resource allocation and progress tracking. I possess experience in budget monitoring, risk assessment, and the application of collaborative effort to project tasks. I maintain focus on process accuracy and the build of project deliverables within stated constraints. I am motivated by collective goals and am a team player.
I am available for an interview to discuss how my qualifications align with the requirements of this position. Thank you for your time and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</si>
  <si>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where I **managed** projects and programmes within [Company]. During my tenure, I **leveraged** project schedules, monitored budgets, and addressed operational requirements. I have **consistently** maintained documentation and tracked project status through various phases of completion.
My technical experience includes the application of **specialised** project management methodologies. I have **performed** tasks related to resource allocation, **risk** identification, and progress reporting. I have **executed** standard software tools to **optimize performance** and organize project information.
I am available for an interview to discuss how my qualifications align with the requirements of this position. Thank you for your time and consideration of my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</si>
  <si>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managing projects and programmes within [Company]. During my tenure, I **collaborate** on project schedules, monitored budgets, and **support** operational requirements. I have **contributed** documentation and tracked project status through various phases of **cooperative** completion.
My technical experience includes the application of standard project management methodologies. I have **committing** tasks related to resource allocation, risk identification, and **communicated** progress reporting. I have **built** standard software tools to track milestones and **harmonize** project information.
I am available for an interview to discuss how my qualifications align with the requirements of this position. Thank you for your time and consideration of my application.
Regards,
[Your Name]</t>
  </si>
  <si>
    <t>Dear Hiring Manager,
I am writing to express interest in the Project Management position at [Company] in [Location]. This letter serves as a formal application for the vacancy as advertised.
My professional background includes ten years of experience in project and programme management. During this period, I **master** project life cycles, **strategise** resources, and maintained documentation for various initiatives. These roles required the coordination of schedules and the **analytical** management of project budgets.
My technical competencies include the use of project management software, the creation of status reports, and the maintenance of project logs. I possess **specialized expertise** in risk identification and the **executed** task plans. I **optimize performance** for project files and ensure that **innovative** processes remain aligned with **ambitious goals** and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</si>
  <si>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in [Location]. This letter serves as a formal application for the vacancy as advertised.
My professional background includes ten years of experience in project and programme management. During this period, I **collaborated** on project life cycles, **assisted** resources, and **fostered** documentation for various initiatives. These roles required the **sharing** of schedules and the **joint** management of project budgets.
My technical competencies include the use of project management software, the **contribution** of status reports, and the **maintenance** of project logs. I possess experience in risk identification and the **dedication** of task plans. I **build** project files and ensure that processes remain **connected** with **shared**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</si>
  <si>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ten years of experience in project coordination and program oversight. During this period, I **managed** project lifecycles, **forecasted** budgets, and tracked timelines for multiple organizational initiatives. My work involves the **optimisation** of resources and the **innovation** of project documentation.
My technical skills include the use of project management software, data analysis, and the preparation of progress reports. I possess experience in **risk** assessment, stakeholder communication, and the **strategy** of project milestones. These activities are **executed** to ensure project activities **thrive** with established parameters.
I am available for an interview to discuss this application further.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</si>
  <si>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ten years of experience in project coordination and program oversight. During this period, I have **built** project lifecycles, monitored budgets, and tracked timelines for **collective** organizational initiatives. My work involves the **assisting** of resources and the **fostering** of project documentation.
My technical skills include the use of project management software, data analysis, and the preparation of progress reports. I possess experience in risk assessment, **client** communication, and the **joint** monitoring of project milestones. These activities are **partnered** to ensure project activities remain **shared** with **mutual** parameters.
I am available for an interview to discuss this application further. Please contact me via the information provided in my resume to arrange a meeting.
Regards,
[Your Name]</t>
  </si>
  <si>
    <t>Dear Hiring Manager,
I am writing to submit my application for the Project Management position at [Company] located in [Location]. This letter serves as a formal expression of interest in the vacancy.
My professional background includes the **master** of projects and programmes across various sectors. I have held positions where I **analyse** project documentation, monitored schedules, and verified that project milestones met defined requirements. My experience involves the coordination of resources and the **rational** assessment of project status.
My skill set includes the use of project management software, the **forecasting** of budgets, and the production of status reports. I possess experience in risk identification and the **specialized expertise** to **optimize performance** to maintain project progression. I am capable of managing timelines and ensuring that project data remains accurate.
I am available for an interview to discuss this application. Please contact me via the information provided in my resume to arrange a meeting. Thank you for your consideration of these qualifications.
Regards,
[Your Name]</t>
  </si>
  <si>
    <t>Dear Hiring Manager,
I am writing to submit my application for the Project Management position at [Company] located in [Location]. This letter serves as a formal expression of interest in the vacancy.
My professional background includes the management of projects and programmes across various sectors. I have held positions where I **collaborate** on project documentation, monitored schedules, and verified that project milestones met **shared** requirements. My experience involves the **fostering** of resources and the assessment of project status to ensure **collective** success.
My skill set includes the use of project management software, the tracking of budgets, and the production of status reports. I possess experience in risk identification and the **joint** application of methodologies to **build** project progression. I am capable of managing timelines and ensuring that project data remains **connected** to **mutual trust** and **satisfactory** results.
I am available for an interview to discuss this application. Please contact me via the information provided in my resume to arrange a meeting. Thank you for your consideration of these qualifications.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</si>
  <si>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**master** various projects from initiation to completion. These projects involved resource allocation, budget management, and the **analytical** coordination of project phases within **ambitious goals**.
My technical proficiency includes the **specialized** application of standard project management methodologies and software tools. I possess experience in risk assessment, schedule maintenance, and the **innovative** production of status reports. I **strategise** records and data to ensure project documentation remains **effectively** accurate and accessible.
I am available for an interview to discuss how my professional background meets the requirements of the position. Please contact me via the provided email or phone number to arrange a time for further discussion regarding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</si>
  <si>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**collaborated** on various projects from initiation to completion. These projects involved resource allocation, budget management, and the **joint** coordination of project phases within established timeframes. I am **dedicated** to **fostering** project success.
My technical proficiency includes the **sharing** of standard project management methodologies and software tools. I possess experience in risk assessment, schedule maintenance, and the **collective** production of status reports. I maintain records and data to ensure project documentation remains **connected** and accessible. I am **committing** to **mutual trust** within all **teams**.
I am available for an interview to discuss how my professional background meets the requirements of the position. Please contact me via the provided email or phone number to arrange a time for further discussion regarding this application.
Regards,
[Your Name]</t>
  </si>
  <si>
    <t>Dear Hiring Manager,
I am writing to submit my application for the Project Manager position at [Company]. This letter serves to express my interest in the role as advertised.
My professional background includes experience in the **specialized expertise** and oversight of operational tasks. In previous positions at [Company] located in [Location], I **executed** duties related to scheduling, resource allocation, and progress monitoring. These roles required the maintenance of project documentation and the **analytical** coordination of internal processes.
My technical experience includes the application of **innovative** methodologies for project lifecycles. I possess proficiency in the use of project management software and data analysis tools to **optimize performance** against established metrics. My tasks have included the preparation of status reports, the **problem solving** of procedural gaps, and the **decision** to **leverage** project budgets.
I am available for an interview to discuss my qualifications for this position. Please contact me at your convenience to arrange a meeting.
Regards,
[Your Name]</t>
  </si>
  <si>
    <t>Dear Hiring Manager,
I am writing to submit my application for the Project Manager position at [Company]. This letter serves to express my interest in the role as advertised.
My professional background includes experience in the administration and oversight of operational tasks. In previous positions at [Company] located in [Location], I **contribute** to duties related to scheduling, resource allocation, and progress monitoring. These roles required the maintenance of project documentation and the **cooperative** coordination of internal processes. I **collaborate** on tasks to ensure **shared** outcomes.
My technical experience includes the application of standard methodologies for project lifecycles. I possess proficiency in the use of project management software and data analysis tools to **support** progress against established metrics. My tasks have included the preparation of status reports, the **communicating** of procedural gaps, and the **joint** management of project budgets. I **commit** to **mutual** success.
I am available for an interview to discuss my qualifications for this position. Please contact me at your convenience to arrange a meeting.
Regards,
[Your Name]</t>
  </si>
  <si>
    <t>Dear Hiring Manager,
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**overcame** project life cycles, resource allocation, and progress reporting. These roles involved the **innovative** coordination of tasks to **deliver** defined requirements.
My technical proficiency includes the **implementation** of standard methodologies to organize workflows and maintain documentation. I possess **insightful** experience in budget monitoring, risk assessment, and the maintenance of project schedules. These **effective** practices are used to ensure that tasks remain **driven** within established parameters and **results** timelines.
I am available to discuss this application further. Please contact me via the information provided in my resume to arrange a meeting. Thank you for your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</si>
  <si>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**collaborated** on project life cycles, resource allocation, and progress reporting. These roles involved the **fostering** of tasks to meet **collective goals**. My **dedication** helped **build** project success.
My technical proficiency includes the application of standard methodologies to **connect** workflows and maintain documentation. I possess experience in budget monitoring, risk assessment, and the maintenance of project schedules. These **shared** practices are used to **assist** that tasks remain within **mutual trust** and timelines. I am **committing** to **long term** results.
I am available to discuss this application further. Please contact me via the information provided in my resume to arrange a meeting. Thank you for your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</si>
  <si>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the administration of projects within [Company]. During my time in these roles, I **analyse** documentation, tracked project timelines, and **strategise** resources according to established project requirements. I **executed** these functions within [Location] for a period of five years.
My proficiency includes the use of project management software, the **specialized expertise** of standard methodologies, and the preparation of status reports. I am capable of **optimizing performance** for project schedules, monitoring budget allocations, and **innovating** updates to stakeholders. I possess the **analytical** skills required to **achieve** these tasks.
I am available for an interview to discuss my qualifications further. Please contact me at your convenience to arrange a meeting. Thank you for your time and for reviewing my application materials.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</si>
  <si>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the **collaboration** of projects within [Company]. During my time in these roles, I **fostered** documentation, tracked project timelines, and managed resources according to **shared** project requirements. I **contributed** these functions within [Location] for a period of five years.
My proficiency includes the use of project management software, the application of standard methodologies, and the preparation of status reports. I am capable of managing project schedules, monitoring budget allocations, and **communicating** updates to **clients**. I possess the **collective** skills required to **build** these tasks with **mutual trust**.
I am available for an interview to discuss my qualifications further. Please contact me at your convenience to arrange a meeting. Thank you for your time and for reviewing my application materials.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</si>
  <si>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and other organizations. During these periods, I **thrived** in the status of project timelines, the allocation of resources, and the documentation of internal processes. My work focused on the **execution** of tasks in accordance with **strategic** parameters.
I possess experience in the application of project management methodologies. My **specialised** skills include the use of project management software, the **implementing** of progress reports, and the **optimizing** of budget expenditures. I **manage** records of project milestones and **leverages** status updates to stakeholders through **innovative** reporting channels.
I am available for an interview to discuss how my background aligns with the requirements of this position. Please contact me at your convenience to arrange a meeting. Thank you for your review of these materials.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</si>
  <si>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and other organizations. During these periods, I was responsible for the status of project timelines, the allocation of resources, and the documentation of internal processes. My work focused on the **collaboration** of tasks in accordance with **shared** parameters. I **contributed** to the **collective** progress of the department.
I possess experience in the application of project management methodologies. My technical skills include the use of project management software, the creation of progress reports, and the monitoring of budget expenditures. I **build** records of project milestones and **communicate** status updates to stakeholders through **joint** reporting channels. I am **dedicated** to **fostering** excellence within **teams**.
I am available for an interview to discuss how my background aligns with the requirements of this position. Please contact me at your convenience to arrange a meeting. Thank you for your review of these materials.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</si>
  <si>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within [Company] and [Company]. During these periods, I **master** project lifecycles, **analyse** budget allocations, and tracked progress against **ambitious goals**. These positions required the **specialized expertise** of documentation and the coordination of project components.
I possess experience in the application of project management methodologies, including the use of scheduling software and resource tracking tools. My duties have included the **forecasting** of status reports, the **analytical** identification of procedural variances, and the **innovative** maintenance of project records. I **act decisively** in the use of standard office software and technical tools for data management to **achieve** results.
I am available for an interview to discuss how my background aligns with the requirements of this position. Please contact me via the information provided on my resume to arrange a meeting.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</si>
  <si>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within [Company] and [Company]. During these periods, I **collaborated** on project lifecycles, monitored budget allocations, and tracked progress against **collective goals**. These positions required the maintenance of documentation and the **cooperative** coordination of project components. I **contributed** to the **shared** success of the department.
I possess experience in the application of project management methodologies, including the use of scheduling software and resource tracking tools. My duties have included the generation of status reports, the **communicating** of procedural variances, and the **mutual** maintenance of project records. I am proficient in the use of standard office software and technical tools for **contributing** to **team** success. I **understand** the **long term** vision of the organization.
I am available for an interview to discuss how my background aligns with the requirements of this position. Please contact me via the information provided on my resume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</si>
  <si>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**master**ing projects and programmes within [Company] environments. I have **executed** project lifecycles, monitored budgets, and tracked timelines. My work involved the **analytical** coordination of resources and the assessment of progress against **ambitious goals**.
I possess **specialized expertise** in project management software and standard reporting methodologies. My tasks have included the **innovative** documentation of project status, the management of risk logs, and the **effectively** communicated updates to stakeholders. I am familiar with **creative** project management frameworks and the **strategise** application of these methodologies to daily operations.
I am available for an interview to discuss this application. Please contact me via the provided details to arrange a meeting at your convenience.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</si>
  <si>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environments. I have **collaborated** on project lifecycles, monitored budgets, and tracked timelines. My work involved the **fostering** of resources and the assessment of progress against **shared** plans. I am **dedicated** to the **collective** advancement of our objectives.
I possess technical competency in project management software and standard reporting methodologies. My tasks have included the documentation of project status, the management of risk logs, and the **communicated** updates to stakeholders. I am familiar with standard project management frameworks and the **joint** application of these methodologies to **assist** daily operations. I am **committing** to **mutual trust** within all **teams**.
I am available for an interview to discuss this application. Please contact me via the provided details to arrange a meeting at your convenience.
Regards,
[Your Name]</t>
  </si>
  <si>
    <t>Dear Hiring Manager,
I am writing to express interest in the Project Management position at [Company] in [Location]. This application serves as a formal request for consideration for the role.
My professional history includes five years of experience in project coordination and program oversight. During this period, I **strategise** schedules, monitored budgets, and tracked task completion across multiple departments. I maintained documentation and provided **analytical** status reports to stakeholders regarding project progression. I **pioneer** new methods and **achieve** results.
My technical proficiency includes the application of project management software for resource allocation and timeline tracking. I possess **specialized expertise** in risk identification and the adjustment of workflows to **optimize performance** within established project constraints. I am capable of **innovating** documentation and facilitating meetings to ensure **creative** information exchange remains consistent. I **act decisively** to **overcome** obstacles.
I am available for an interview to discuss the requirements of the position. Please contact me at your convenience to arrange a meeting.
Regards,
[Your Name]</t>
  </si>
  <si>
    <t>Dear Hiring Manager,
I am writing to express interest in the Project Management position at [Company] in [Location]. This application serves as a formal request for consideration for the role.
My professional history includes five years of experience in project coordination and program oversight. During this period, I **collaborated** on schedules, monitored budgets, and tracked task completion across multiple departments. I maintained documentation and **contributed** status reports to stakeholders regarding **shared** project progression. I **understand** the value of a **cooperative** environment.
My technical proficiency includes the application of project management software for resource allocation and timeline tracking. I possess experience in risk identification and the adjustment of workflows to maintain **mutual** adherence to established project constraints. I am capable of organizing documentation and **communicating** in meetings to ensure **collective goals** remain consistent. I **builds** strong **partners** through my work.
I am available for an interview to discuss the requirements of the position. Please contact me at your convenience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</si>
  <si>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have **executed** multiple projects from initiation to completion. I have **forecasted** project lifecycles and **directed** the allocation of resources. My work has involved the maintenance of project schedules and the **analytical** tracking of internal metrics.
I possess **specialized expertise** in project management software, budget administration, and quality assurance processes. My **innovative** skills include the use of industry-standard tools to **optimize performance** and track status updates. I **strategise** logs of project progress and **leverage** reports for stakeholders based on the data collected.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</si>
  <si>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have **collaborated** on multiple projects from initiation to completion. I have **contributed** to project lifecycles and **cooperative** allocation of resources. My work has involved the **shared** maintenance of project schedules and the tracking of internal metrics.
I possess technical competency in project management software, budget administration, and quality assurance processes. My technical skills include the use of industry-standard tools to **support** project documentation and track status updates. I **communicate** logs of project progress and prepare **joint** reports for stakeholders based on the data collected. I **understand** the **collective goals** of the organization.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</si>
  <si>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Project Management position at [Company] in [Location]. This letter serves as a formal expression of interest in the role as described in the job listing.
My professional background includes experience in managing projects and programmes across various sectors. Previous assignments involved the coordination of resources, the tracking of timelines, and the management of project budgets. I have **executed** these tasks in alignment with **ambitious goals** and operational standards.
My core competencies include the creation of project schedules, the preparation of status reports, and the management of project documentation. I am proficient in the use of standard project management software and possess **specialized expertise** of methodologies used to **analyse** progress. These **individual skills** allow me to **act decisively** and **optimize performance** within project environments.
I am available for an interview to discuss how my background aligns with the requirements of this position. Thank you for your consideration of this application. I look forward to receiving your response.
Regards,
[Your Name]</t>
  </si>
  <si>
    <t>Dear Hiring Manager,
I am writing to submit my application for the Project Management position at [Company] in [Location]. This letter serves as a formal expression of interest in the role as described in the job listing.
My professional background includes experience in managing projects and programmes across various sectors. Previous assignments involved the **collaboration** of resources, the tracking of timelines, and the management of project budgets. I have **contributed** these tasks in alignment with stated organizational requirements and operational standards. I have **built** these processes while **fostering** professional growth.
My core competencies include the **development** of project schedules, the preparation of status reports, and the management of project documentation. I am proficient in the use of standard project management software and possess technical knowledge of methodologies used to **connect** progress. These **shared** skills allow me to maintain **cohesive** order and clarity within project environments. I am **dedicated** to **mutual trust** throughout all operations.
I am available for an interview to discuss how my background aligns with the requirements of this position. Thank you for your consideration of this application. I look forward to receiving your response.
Regards,
[Your Name]</t>
  </si>
  <si>
    <t>Dear Hiring Manager,
I am writing to express my interest in the Project Management position at [Company] in [Location]. This letter serves as my formal application for the vacancy as advertised.
My professional background includes experience where I **managed** projects and programmes within corporate environments. I have **leveraged** timelines, budgets, and operational requirements across multiple phases of project lifecycles. My history involves working with structured methodologies to **optimise performance** on assigned tasks.
My skill set includes the use of project management software, data reporting, and resource allocation. I am **specialised** in identifying project requirements, tracking milestones, and communicating status updates to stakeholders. I maintain documentation and **executed** analysis to track project **outcome** against initial parameters. I am an **autonomous professional** who **thrives** in **competitive** environments.
I am available for an interview to discuss how my experience aligns with the requirements of this position. Thank you for your time and consideration of my application.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</si>
  <si>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and programmes within corporate environments. I have **collaborated** on timelines, budgets, and operational requirements across multiple phases of project lifecycles. My history involves **fostering** structured methodologies to maintain progress on **shared** tasks.
My skill set includes the use of project management software, data reporting, and resource allocation. I am experienced in identifying project requirements, tracking milestones, and **communicating** status updates to **clients**. I maintain documentation and perform analysis to **contribute** to **collective** project status against **long term** parameters.
I am available for an interview to discuss how my experience aligns with the requirements of this position. Thank you for your time and consideration of my application.
Regards,
[Your Name]</t>
  </si>
  <si>
    <t>Dear Hiring Manager,
I am writing to submit my application for the Project Manager position at [Company] in [Location]. This letter serves as a formal expression of interest in the role as advertised.
My professional background includes experience where I leveraged project lifecycles within corporate environments. I have occupied positions where I pioneered project progress, maintained documentation, and coordinated tasks according to established timelines. These roles required the use of specialised project management methodologies to ensure that tasks were performed as scheduled.
My technical proficiency includes the use of project management software, budget tracking, and resource allocation. I have experience in managing risk, status reporting, and the maintenance of project logs. I am capable of organising project documentation and communicating status updates to stakeholders through formal channels as an autonomous professional who thrives.
I am available for an interview to discuss my qualifications further. Please contact me via the information provided in my resume to arrange a meeting. Thank you for your time and consideration of this application.
Regards,
[Your Name]</t>
  </si>
  <si>
    <t>Dear Hiring Manager,
I am writing to submit my application for the Project Manager position at [Company] in [Location]. This letter serves as a formal expression of interest in the role as advertised.
My professional background includes experience in managing project lifecycles within corporate environments. I have occupied positions where I **collaborate** on project progress, maintained documentation, and **contribute** to tasks according to established timelines. These roles required the use of standard project management methodologies to ensure that **collective goals** were **satisfied** as scheduled.
My technical proficiency includes the use of project management software, budget tracking, and resource allocation. I have experience in risk assessment, status reporting, and the **fostering** of project logs. I am capable of **building** project documentation and **communicating** status updates to **clients** through **shared** channels.
I am available for an interview to discuss my qualifications further. Please contact me via the information provided in my resume to arrange a meeting. Thank you for your time and consideration of this application.
Regards,
[Your Name]</t>
  </si>
  <si>
    <t>Dear Hiring Manager,
I am writing to submit my application for the Project Management position at [Company] in [Location]. This letter serves as a formal expression of interest in the vacancy currently open within your organization.
My professional background includes the **master**y of projects within [Company] and [Company]. During these periods, I **analyse**d documentation, tracked project timelines, and **strategise**d the distribution of resources. My work involved the **innovative** observation of project life cycles from initiation to completion.
I possess **specialized expertise** in standard project management software and internal reporting tools. My **analytical** tasks included the creation of status reports, the **forecasting** of budgets, and the **execution** of schedules. I **effectively** maintained records of project progress and **promotes**d updates to stakeholders as required.
I am available for an interview to discuss my qualifications for this role. I look forward to receiving your response regarding the next steps in the recruitment process.
Regards,
[Your Name]</t>
  </si>
  <si>
    <t>Dear Hiring Manager,
I am writing to submit my application for the Project Management position at [Company] in [Location]. This letter serves as a formal expression of interest in the vacancy currently open within your organization.
My professional background includes the management of projects within [Company] and [Company]. During these periods, I **collaborated** on documentation, tracked project timelines, and **assisted** the distribution of resources. My work involved the **fostering** of project life cycles from initiation to completion, **dedicating** my efforts to **collective goals**.
I possess proficiency in standard project management software and internal reporting tools. My routine tasks included the **sharing** of status reports, the monitoring of budgets, and the **build** of schedules. I maintained records of project progress and **communicated** updates to stakeholders, **fostering harmony** through **shared** responsibility.
I am available for an interview to discuss my qualifications for this role. I look forward to receiving your response regarding the next steps in the recruitment process.
Regards,
[Your Name]</t>
  </si>
  <si>
    <t>Dear Hiring Manager,
I am writing to express interest in the Project Management position at [Company] in [Location]. This letter serves as a formal application for the role as advertised.
My professional background includes experience where I **leveraged** project lifecycles within [Company]. I have **managed** the coordination of resources, the monitoring of timelines, and the reporting of project status to stakeholders. My work has **executed** tasks according to established project plans to ensure a positive **outcome**.
I possess proficiency in standard project management methodologies and software tools. My tasks involve the **optimisation** of project schedules, the **innovation** of budgets, and the documentation of project requirements. I have **pioneered** the use of data for the tracking of project progress and **consistently** identified variances from the project plan.
I am available for an interview to discuss my qualifications for this position. Please contact me via the provided details to arrange a meeting at your convenience.
Regards,
[Your Name]</t>
  </si>
  <si>
    <t>Dear Hiring Manager,
I am writing to express interest in the Project Management position at [Company] in [Location]. This letter serves as a formal application for the role as advertised.
My professional background includes experience in managing project lifecycles within [Company]. I have held responsibility for the **cooperative** coordination of resources, the monitoring of timelines, and the **communicating** of project status to stakeholders. My work has **contributed** to the execution of tasks according to **shared** project plans.
I possess proficiency in standard project management methodologies and software tools. My tasks involve the **developing with** of project schedules, the management of budgets, and the **assisting** of project requirements. I am experienced in the use of data for the **collaborating** of project progress and the **understanding** of variances from the **collective goals**.
I am available for an interview to discuss my qualifications for this position. Please contact me via the provided details to arrange a meeting at your convenience.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</si>
  <si>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**managed** various assignments from initiation to completion. My responsibilities included resource allocation, schedule maintenance, and **optimisation** reporting within [Company]. I **pioneered** complex workflows to ensure every **outcome** met expectations.
My technical abilities include the use of industry-standard software for documentation and tracking. I am **specialised** in establishing timelines, monitoring budget usage, and **leveraged** project artifacts. I **executed** project logs and prepare documentation for **solutions** by relevant stakeholders. My **determination** ensures I **thrive** in fast-paced environments.
I am available for an interview to discuss my qualifications for this position.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</si>
  <si>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**collaborated** on various assignments from initiation to completion. My responsibilities included resource allocation, schedule maintenance, and **fostering** status reporting within [Company]. I am **dedicated** to ensuring **shared** outcomes.
My technical abilities include the use of industry-standard software for documentation and tracking. I am proficient in establishing timelines, monitoring budget usage, and **contributing** to project artifacts. I maintain project logs and prepare documentation for **joint** review by **connected** stakeholders. I **build** **mutual trust** to ensure **overarching success**.
I am available for an interview to discuss my qualifications for this position. Please contact me at your convenience to arrange a meeting. Thank you for your time and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</si>
  <si>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ten years of experience in project and programme management. During this period, I **master** responsibility for the coordination of resources, the tracking of schedules, and the **analytical** management of project documentation. My previous roles required the **execution** of projects within defined parameters and the **forecasting** of status updates to stakeholders.
My technical competencies include the application of standard project management methodologies, the creation of project plans, and the management of budgets. I possess **specialized expertise** in the use of project management software for task tracking and data **insight**. These **innovative** skills allow for the maintenance of project records and the **optimizing** of progress against **ambitious goals**.
I am available for an interview to discuss how my experience aligns with the requirements of this position. Thank you for your time and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</si>
  <si>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ten years of experience in project and programme management. During this period, I maintained **dedication** for the coordination of resources, the tracking of schedules, and the **collaboration** of project documentation. My previous roles required the **contributing** of projects within defined parameters and the **communicating** of status updates to stakeholders.
My technical competencies include the application of standard project management methodologies, the creation of project plans, and the **cohesion** of budgets. I possess proficiency in the use of project management software for task tracking and data analysis. These skills allow for the **cooperative spirit** of project records and the **joint** monitoring of progress against established timelines.
I am available for an interview to discuss how my experience aligns with the requirements of this position. Thank you for your time and **understanding** of this **collective** application.
Regards,
[Your Name]</t>
  </si>
  <si>
    <t>Dear Hiring Manager,
I am writing to express interest in the Project Management position at [Company] in [Location]. This letter serves as a formal application for the role as advertised.
My professional background includes **specialized expertise** in the administration of projects and programs. I have **strategise** timelines and resource allocations within [Company] and other organizational settings. My responsibilities have involved the **analytical** monitoring of project phases and the reporting of status updates to stakeholders.
My technical experience includes the **innovative** application of project management methodologies to organize tasks and maintain documentation. I possess experience in the use of standard software tools for the **forecasting** of project metrics. I **analyse** records of project progress and **act decisively** to verify that outputs **achieve** established project requirements.
I am available for an interview to discuss how my background aligns with the requirements of this role. Please contact me via the information provided in my resume to arrange a meeting.
Regards,
[Your Name]</t>
  </si>
  <si>
    <t>Dear Hiring Manager,
I am writing to express interest in the Project Management position at [Company] in [Location]. This letter serves as a formal application for the role as advertised.
My professional background includes experience in the administration of projects and programs. I have **collaborated** on timelines and resource allocations within [Company] and other organizational settings. My responsibilities have involved the **fostering** of project phases and the reporting of status updates to **clients**. I have **contributed** to the **overarching success** of various initiatives.
My technical experience includes the application of project management methodologies to organize tasks and maintain documentation. I possess experience in the use of standard software tools for the tracking of project metrics. I **build** records of project progress and verify that outputs **connect** to **shared** project requirements. I am **dedicated** to **long term** results.
I am available for an interview to discuss how my background aligns with the requirements of this role. Please contact me via the information provided in my resume to arrange a meeting.
Regards,
[Your Name]</t>
  </si>
  <si>
    <t>Dear Hiring Manager,
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**master** project lifecycles, **analyse** budget tracking, and maintained documentation for various initiatives. My responsibilities involved **strategise** project activities and ensuring **innovative** alignment with established project parameters.
My technical proficiency includes the application of **specialized expertise** in project management methodologies and software tools. I possess experience in resource allocation, **forecasting** progress, and reporting. I am able to **act decisively** to **optimize performance** and maintain project schedules according to **ambitious goals**.
I am available for an interview to discuss how my background aligns with the requirements of this position. Thank you for your time and consideration of my application. I look forward to hearing from you regarding the next steps in the hiring process.
Regards,
[Your Name]</t>
  </si>
  <si>
    <t>Dear Hiring Manager,
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**collaborated** on project lifecycles, performed budget tracking, and maintained documentation for various initiatives. My responsibilities involved **fostering** project activities and ensuring alignment with **shared** project parameters. My **dedicated** approach ensures that I **contribute** to the organization.
My technical proficiency includes the application of standard project management methodologies and software tools. I possess experience in resource allocation, progress monitoring, and reporting. I am able to **partner** with others to **build** workflows and maintain project schedules according to **collective goals**. I am **motivated with** the opportunity to **connect** with your team.
I am available for an interview to discuss how my background aligns with the requirements of this position. Thank you for your time and consideration of my application. I look forward to hearing from you regarding the next steps in the hiring process.
Regards,
[Your Name]</t>
  </si>
  <si>
    <t>Dear Hiring Manager,
I am writing to submit my application for the Project Manager position at [Company] in [Location]. This letter serves as a formal expression of interest in the vacancy currently open within your organization.
My professional background includes five years of experience in project coordination and resource management. During this time, I **executed** project lifecycles from initiation to closure. My responsibilities included budget tracking, schedule monitoring, and the **analytical** preparation of progress reports for stakeholders.
My technical proficiency includes the use of project management software for task tracking and data **forecasting**. I maintain documentation according to **specialized** protocols and monitor project milestones to **optimize performance** within the defined parameters. I am experienced in the application of **innovative** methodologies to **strategise** project workflows and maintain records.
I am available for an interview to discuss how my **individual skills** align with the requirements of this role.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</si>
  <si>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as a formal expression of interest in the vacancy currently open within your organization.
My professional background includes five years of experience in project coordination and resource management. During this time, I collaborated on project lifecycles from initiation to closure. My responsibilities included budget tracking, schedule monitoring, and the preparation of progress reports for stakeholders, fostering harmony throughout the process.
My technical proficiency includes the use of project management software for task tracking and data analysis. I build documentation according to established protocols and monitor project milestones to ensure they remain within the defined parameters. I am experienced in the application of standard methodologies to assist project workflows and maintain records, fostering a cohesive environment. I am dedicated to collective goals and long term success.
I am available for an interview to discuss how my qualifications align with the requirements of this role. Please contact me at your convenience to arrange a meeting. Thank you for your time and consideration of this application.
Regards,
[Your Name]</t>
  </si>
  <si>
    <t>Dear Hiring Manager,
I am writing to express interest in the Project Management position at [Company]. My professional background aligns with the requirements stated in the job description, and I am submitting my application for your consideration.
My experience includes **managed** projects within [Location]. In previous roles, I **leveraged** project timelines, maintained documentation, and tracked progress against **forecasted** criteria. I have **executed** budgets and resources to ensure the **outcome** of assigned tasks.
My skill set includes the use of project management software, data analysis, and technical reporting. I possess experience in **risk** assessment and the **specialised** coordination of project phases. These skills allow for the **optimisation** of schedules and the **innovation** of project documentation.
I am available for an interview to discuss how my background meets the needs of [Company]. Please contact me via the information provided on my resume to arrange a time for further discussion. Thank you for your time and consideration of this application.
Regards,
[Your Name]</t>
  </si>
  <si>
    <t>Dear Hiring Manager,
I am writing to express interest in the Project Management position at [Company]. My professional background aligns with the requirements stated in the job description, and I am submitting my application for your consideration.
My experience includes management of projects within [Location]. In previous roles, I **collaborate** on project timelines, maintained documentation, and tracked progress against **collective goals**. I have managed budgets and resources to ensure the **contribution** of assigned tasks through a **cooperative** approach.
My skill set includes the use of project management software, data analysis, and technical reporting. I possess experience in risk assessment and **assisting** in the **joint** coordination of project phases. These skills allow for the **mutual trust** of schedules and the **shared** management of project documentation.
I am available for an interview to discuss how my background meets the needs of [Company]. Please contact me via the information provided on my resume to arrange a time for further discussion. Thank you for your time and consideration of this application.
Regards,
[Your Name]</t>
  </si>
  <si>
    <t>Maximizing</t>
  </si>
  <si>
    <t>Maximized</t>
  </si>
  <si>
    <t>Allocating</t>
  </si>
  <si>
    <t>Allocated</t>
  </si>
  <si>
    <t>Controlling</t>
  </si>
  <si>
    <t>Controlled</t>
  </si>
  <si>
    <t>Reimagining</t>
  </si>
  <si>
    <t>Reimagined</t>
  </si>
  <si>
    <t>Inventing</t>
  </si>
  <si>
    <t>Invented</t>
  </si>
  <si>
    <t>Creating</t>
  </si>
  <si>
    <t>Created</t>
  </si>
  <si>
    <t>Championing</t>
  </si>
  <si>
    <t>Championed</t>
  </si>
  <si>
    <t>Driving</t>
  </si>
  <si>
    <t>Drove</t>
  </si>
  <si>
    <t>Leading</t>
  </si>
  <si>
    <t>Led</t>
  </si>
  <si>
    <t>Bridging</t>
  </si>
  <si>
    <t>Bridged</t>
  </si>
  <si>
    <t>Unifying</t>
  </si>
  <si>
    <t>Unified</t>
  </si>
  <si>
    <t>Aligning</t>
  </si>
  <si>
    <t>Aligned</t>
  </si>
  <si>
    <t>Holding accountable</t>
  </si>
  <si>
    <t>Held accountable</t>
  </si>
  <si>
    <t>Empowering</t>
  </si>
  <si>
    <t>Empowered</t>
  </si>
  <si>
    <t>Assigning</t>
  </si>
  <si>
    <t>Assigned</t>
  </si>
  <si>
    <t>Pioneering</t>
  </si>
  <si>
    <t>Pioneered</t>
  </si>
  <si>
    <t>Uncovering</t>
  </si>
  <si>
    <t>Uncovered</t>
  </si>
  <si>
    <t>Investigating</t>
  </si>
  <si>
    <t>Investigated</t>
  </si>
  <si>
    <t>Balancing together</t>
  </si>
  <si>
    <t>Closing</t>
  </si>
  <si>
    <t>Balanced together</t>
  </si>
  <si>
    <t>Closed</t>
  </si>
  <si>
    <t>Coordinating with stakeholders on</t>
  </si>
  <si>
    <t>Winning</t>
  </si>
  <si>
    <t>Coordinated with stakeholders on</t>
  </si>
  <si>
    <t>Won</t>
  </si>
  <si>
    <t>Shaping with input from</t>
  </si>
  <si>
    <t>Securing</t>
  </si>
  <si>
    <t>Shaped with input from</t>
  </si>
  <si>
    <t>Secured</t>
  </si>
  <si>
    <t>Co-creating</t>
  </si>
  <si>
    <t>Captivating</t>
  </si>
  <si>
    <t>Co-created</t>
  </si>
  <si>
    <t>Captivated</t>
  </si>
  <si>
    <t>Helping ease the transition for</t>
  </si>
  <si>
    <t>Commanding</t>
  </si>
  <si>
    <t>Helped ease the transition for</t>
  </si>
  <si>
    <t>Commanded</t>
  </si>
  <si>
    <t>Supporting</t>
  </si>
  <si>
    <t>Delivering</t>
  </si>
  <si>
    <t>Supported</t>
  </si>
  <si>
    <t>Delivered</t>
  </si>
  <si>
    <t>Bringing together</t>
  </si>
  <si>
    <t>Resolving</t>
  </si>
  <si>
    <t>Brought together</t>
  </si>
  <si>
    <t>Resolved</t>
  </si>
  <si>
    <t>Connecting</t>
  </si>
  <si>
    <t>Containing</t>
  </si>
  <si>
    <t>Connected</t>
  </si>
  <si>
    <t>Contained</t>
  </si>
  <si>
    <t>Supporting the team in</t>
  </si>
  <si>
    <t>Taking control of</t>
  </si>
  <si>
    <t>Supported the team in</t>
  </si>
  <si>
    <t>Took control of</t>
  </si>
  <si>
    <t>Distributing fairly</t>
  </si>
  <si>
    <t>Architecting</t>
  </si>
  <si>
    <t>Distributed fairly</t>
  </si>
  <si>
    <t>Architected</t>
  </si>
  <si>
    <t>Synthesizing for the team</t>
  </si>
  <si>
    <t>Engineering</t>
  </si>
  <si>
    <t>Synthesized for the team</t>
  </si>
  <si>
    <t>Engineered</t>
  </si>
  <si>
    <t>Exploring together</t>
  </si>
  <si>
    <t>Building</t>
  </si>
  <si>
    <t>Explored together</t>
  </si>
  <si>
    <t>Built</t>
  </si>
  <si>
    <t>Rallying support</t>
  </si>
  <si>
    <t>Choosing</t>
  </si>
  <si>
    <t>Rallied support</t>
  </si>
  <si>
    <t>Chose</t>
  </si>
  <si>
    <t>Building donor relationships</t>
  </si>
  <si>
    <t>Determining</t>
  </si>
  <si>
    <t>Built donor relationships</t>
  </si>
  <si>
    <t>Determined</t>
  </si>
  <si>
    <t>Connecting with the audience together</t>
  </si>
  <si>
    <t>Deciding</t>
  </si>
  <si>
    <t>Connected with the audience together</t>
  </si>
  <si>
    <t>Decided</t>
  </si>
  <si>
    <t>Engaging</t>
  </si>
  <si>
    <t>Setting the direction for</t>
  </si>
  <si>
    <t>Engaged</t>
  </si>
  <si>
    <t>Set the direction for</t>
  </si>
  <si>
    <t>Helping steady</t>
  </si>
  <si>
    <t>Shaping</t>
  </si>
  <si>
    <t>Helped steady</t>
  </si>
  <si>
    <t>Shaped</t>
  </si>
  <si>
    <t>Rallying the team</t>
  </si>
  <si>
    <t>Defining</t>
  </si>
  <si>
    <t>Rallied the team</t>
  </si>
  <si>
    <t>Defined</t>
  </si>
  <si>
    <t>Supporting the build of</t>
  </si>
  <si>
    <t>Navigating</t>
  </si>
  <si>
    <t>Supported the build of</t>
  </si>
  <si>
    <t>Navigated</t>
  </si>
  <si>
    <t>Contributing to</t>
  </si>
  <si>
    <t>Adjusting course</t>
  </si>
  <si>
    <t>Contributed to</t>
  </si>
  <si>
    <t>Adjusted course</t>
  </si>
  <si>
    <t>Helping decide together</t>
  </si>
  <si>
    <t>Pivoting</t>
  </si>
  <si>
    <t>Helped decide together</t>
  </si>
  <si>
    <t>Pivoted</t>
  </si>
  <si>
    <t>Weighing in</t>
  </si>
  <si>
    <t>Optimizing</t>
  </si>
  <si>
    <t>Weighed in</t>
  </si>
  <si>
    <t>Optimized</t>
  </si>
  <si>
    <t>Streamlining</t>
  </si>
  <si>
    <t>Streamlined</t>
  </si>
  <si>
    <t>Helping shape</t>
  </si>
  <si>
    <t>Prioritizing</t>
  </si>
  <si>
    <t>Helped shape</t>
  </si>
  <si>
    <t>Prioritized</t>
  </si>
  <si>
    <t>Adjusting alongside others</t>
  </si>
  <si>
    <t>Taking charge of the situation</t>
  </si>
  <si>
    <t>Adjusted alongside others</t>
  </si>
  <si>
    <t>Took charge of the situation</t>
  </si>
  <si>
    <t>Staying flexible for the team</t>
  </si>
  <si>
    <t>Stayed flexible for the team</t>
  </si>
  <si>
    <t>Coordinating with the team</t>
  </si>
  <si>
    <t>Coordinated with the team</t>
  </si>
  <si>
    <t>Balancing</t>
  </si>
  <si>
    <t>Owning</t>
  </si>
  <si>
    <t>Balanced</t>
  </si>
  <si>
    <t>Owned</t>
  </si>
  <si>
    <t>Bringing people together</t>
  </si>
  <si>
    <t>Enforcing</t>
  </si>
  <si>
    <t>Brought people together</t>
  </si>
  <si>
    <t>Enforced</t>
  </si>
  <si>
    <t>Mediating</t>
  </si>
  <si>
    <t>Initiating</t>
  </si>
  <si>
    <t>Mediated</t>
  </si>
  <si>
    <t>Initiated</t>
  </si>
  <si>
    <t>Supporting consistency across the team</t>
  </si>
  <si>
    <t>Launching</t>
  </si>
  <si>
    <t>Supported consistency across the team</t>
  </si>
  <si>
    <t>Launched</t>
  </si>
  <si>
    <t>Upholding together</t>
  </si>
  <si>
    <t>Upheld together</t>
  </si>
  <si>
    <t>Co-developing</t>
  </si>
  <si>
    <t>Managing a budget</t>
  </si>
  <si>
    <t xml:space="preserve"> win </t>
  </si>
  <si>
    <t>Co-developed</t>
  </si>
  <si>
    <t>Managed a budget</t>
  </si>
  <si>
    <t>Improving together with the team</t>
  </si>
  <si>
    <t>Designing solutions</t>
  </si>
  <si>
    <t>Improved together with the team</t>
  </si>
  <si>
    <t>Designed solutions</t>
  </si>
  <si>
    <t>Aligning interests</t>
  </si>
  <si>
    <t>Negotiating</t>
  </si>
  <si>
    <t>Managing change</t>
  </si>
  <si>
    <t>Aligned interests</t>
  </si>
  <si>
    <t>Negotiated</t>
  </si>
  <si>
    <t>Managed change</t>
  </si>
  <si>
    <t>Reaching agreement together</t>
  </si>
  <si>
    <t>Building a training program</t>
  </si>
  <si>
    <t>Working across teams</t>
  </si>
  <si>
    <t>Reached agreement together</t>
  </si>
  <si>
    <t>Built a training program</t>
  </si>
  <si>
    <t>Worked across teams</t>
  </si>
  <si>
    <t>Nurturing</t>
  </si>
  <si>
    <t>Developing</t>
  </si>
  <si>
    <t>Delegating tasks</t>
  </si>
  <si>
    <t>Nurtured</t>
  </si>
  <si>
    <t>Developed</t>
  </si>
  <si>
    <t>Delegated tasks</t>
  </si>
  <si>
    <t>Coaching</t>
  </si>
  <si>
    <t>Conducting research</t>
  </si>
  <si>
    <t>Coached</t>
  </si>
  <si>
    <t>Conducted research</t>
  </si>
  <si>
    <t>Mentoring</t>
  </si>
  <si>
    <t>Raising funds</t>
  </si>
  <si>
    <t>Mentored</t>
  </si>
  <si>
    <t>Raised funds</t>
  </si>
  <si>
    <t>Translating for stakeholders</t>
  </si>
  <si>
    <t>Identifying</t>
  </si>
  <si>
    <t>Giving presentations</t>
  </si>
  <si>
    <t>Translated for stakeholders</t>
  </si>
  <si>
    <t>Identified</t>
  </si>
  <si>
    <t>Gave presentations</t>
  </si>
  <si>
    <t>Interpreting for the team</t>
  </si>
  <si>
    <t>Delivering results for clients</t>
  </si>
  <si>
    <t>Handling a crisis</t>
  </si>
  <si>
    <t>Interpreted for the team</t>
  </si>
  <si>
    <t>Delivered results for clients</t>
  </si>
  <si>
    <t>Handled a crisis</t>
  </si>
  <si>
    <t>Caring for</t>
  </si>
  <si>
    <t>Resolving customer issues</t>
  </si>
  <si>
    <t>Using technical skills</t>
  </si>
  <si>
    <t>Cared for</t>
  </si>
  <si>
    <t>Resolved customer issues</t>
  </si>
  <si>
    <t>Used technical skills</t>
  </si>
  <si>
    <t>Assisting</t>
  </si>
  <si>
    <t>Making decisions</t>
  </si>
  <si>
    <t>Assisted</t>
  </si>
  <si>
    <t>Made decisions</t>
  </si>
  <si>
    <t>Exceeding</t>
  </si>
  <si>
    <t>Planning strategy</t>
  </si>
  <si>
    <t>Exceeded</t>
  </si>
  <si>
    <t>Planned strategy</t>
  </si>
  <si>
    <t>Growing accounts together with</t>
  </si>
  <si>
    <t>Achieving</t>
  </si>
  <si>
    <t>Adapting to change</t>
  </si>
  <si>
    <t>Grew accounts together with</t>
  </si>
  <si>
    <t>Achieved</t>
  </si>
  <si>
    <t>Adapted to change</t>
  </si>
  <si>
    <t>Building relationships</t>
  </si>
  <si>
    <t>Managing time effectively</t>
  </si>
  <si>
    <t>Built relationships</t>
  </si>
  <si>
    <t>Managed time effectively</t>
  </si>
  <si>
    <t>Helping deliver</t>
  </si>
  <si>
    <t>Executing</t>
  </si>
  <si>
    <t>Handling a conflict</t>
  </si>
  <si>
    <t>Helped deliver</t>
  </si>
  <si>
    <t>Executed</t>
  </si>
  <si>
    <t>Handled a conflict</t>
  </si>
  <si>
    <t>Ensuring quality</t>
  </si>
  <si>
    <t>Ensured quality</t>
  </si>
  <si>
    <t>Coordinating</t>
  </si>
  <si>
    <t>Pitching</t>
  </si>
  <si>
    <t>Improving a process</t>
  </si>
  <si>
    <t>Coordinated</t>
  </si>
  <si>
    <t>Pitched</t>
  </si>
  <si>
    <t>Improved a process</t>
  </si>
  <si>
    <t>Sharing</t>
  </si>
  <si>
    <t>Persuading</t>
  </si>
  <si>
    <t>Negotiating terms</t>
  </si>
  <si>
    <t>Shared</t>
  </si>
  <si>
    <t>Persuaded</t>
  </si>
  <si>
    <t>Negotiated terms</t>
  </si>
  <si>
    <t>Explaining</t>
  </si>
  <si>
    <t>Presenting</t>
  </si>
  <si>
    <t>Training staff</t>
  </si>
  <si>
    <t>Explained</t>
  </si>
  <si>
    <t>Presented</t>
  </si>
  <si>
    <t>Trained staff</t>
  </si>
  <si>
    <t>Facilitating</t>
  </si>
  <si>
    <t>Overcoming</t>
  </si>
  <si>
    <t>Analyzing data</t>
  </si>
  <si>
    <t>Facilitated</t>
  </si>
  <si>
    <t>Overcame</t>
  </si>
  <si>
    <t>Analyzed data</t>
  </si>
  <si>
    <t>Addressing together</t>
  </si>
  <si>
    <t>Tackling</t>
  </si>
  <si>
    <t>Helping customers</t>
  </si>
  <si>
    <t>Addressed together</t>
  </si>
  <si>
    <t>Tackled</t>
  </si>
  <si>
    <t>Helped customers</t>
  </si>
  <si>
    <t>Working through</t>
  </si>
  <si>
    <t>Increasing sales</t>
  </si>
  <si>
    <t>Worked through</t>
  </si>
  <si>
    <t>Increased sales</t>
  </si>
  <si>
    <t>Partnering</t>
  </si>
  <si>
    <t>Orchestrating</t>
  </si>
  <si>
    <t>Managing a project</t>
  </si>
  <si>
    <t>Partnered</t>
  </si>
  <si>
    <t>Orchestrated</t>
  </si>
  <si>
    <t>Managed a project</t>
  </si>
  <si>
    <t>Collaborating</t>
  </si>
  <si>
    <t>Communicating information</t>
  </si>
  <si>
    <t>Collaborated</t>
  </si>
  <si>
    <t>Communicated information</t>
  </si>
  <si>
    <t>Solving a problem</t>
  </si>
  <si>
    <t>Solved a problem</t>
  </si>
  <si>
    <t>Spearheading</t>
  </si>
  <si>
    <t>Working with others</t>
  </si>
  <si>
    <t>Spearheaded</t>
  </si>
  <si>
    <t>Worked with others</t>
  </si>
  <si>
    <t>Guiding</t>
  </si>
  <si>
    <t>Directing</t>
  </si>
  <si>
    <t>Leading a team</t>
  </si>
  <si>
    <t>Guided</t>
  </si>
  <si>
    <t>Directed</t>
  </si>
  <si>
    <t>Led a team</t>
  </si>
  <si>
    <t>This sheet is for Excel to easily detect words</t>
  </si>
  <si>
    <t>Communal_Term</t>
  </si>
  <si>
    <t>Agentic_Term</t>
  </si>
  <si>
    <t>Neutral_Term</t>
  </si>
  <si>
    <t>Negative</t>
  </si>
  <si>
    <t>Neutral</t>
  </si>
  <si>
    <t>Dear Hiring Manager,
I am writing to submit my application for the Sales and Business Development position at [Company] in [Location].
My professional background includes five years of experience in sales operations. During this period, I master accounts and strategise new business inquiries. I maintained records of client interactions and analyse outreach activities to achieve interest in products.
My technical abilities include the use of customer relationship management software and standard office programs. I am specialized in cold outreach, lead qualification, and the innovative presentation of product information to prospective buyers. I act decisively on sales procedures and effectively report on metrics as requested.
I am available for an interview to discuss how my background aligns with the requirements of this role. Please contact me at your convenience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</si>
  <si>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relations. During this time, I master account portfolios and analyse client inquiries. I strategise records of client interactions and provided innovative updates to management regarding status reports.
My daily tasks included cold calling, lead identification, and the arrangement of meetings. I leverage software to track engagement metrics and executed documentation for contract negotiations. I specialize in analytical office software and creative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</si>
  <si>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partnered with accounts, engaged with prospective clients, and maintained records of business interactions. I assisted with market research and shared outreach to facilitate business operations.
My technical skills include the use of customer relationship management software and data entry systems. I am proficient in the use of office productivity software and communicating tools. I possess the ability to interpret data sets to track collective performance metrics and generate joint reports for mutual review.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</si>
  <si>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expresses my interest in the vacancy as advertised.
My professional background includes five years of experience in sales operations. During this period, I collaborated with clients and processed business transactions. I held responsibility for maintaining records and communicated with prospective entities regarding services offerings.
My technical skills include the use of customer relationship management software and data entry systems. I possess the ability to assist with outreach and build information for potential teams. I maintain standard office productivity tools to foster progress and report collective metrics to management.
I am available to discuss my qualifications for this position at your convenience. Please contact me via the information provided on my resume to arrange an interview.
Regards,
[Your Name]</t>
  </si>
  <si>
    <t>Dear Hiring Manager,
I am writing to express interest in the Sales position at [Company] located in [Location]. My application is submitted for your consideration regarding this opening.
My professional history includes roles in sales and business development. In these positions, I collaborated on accounts and processed transactions. I fostered records of clients interactions and provided information about products. These responsibilities required consistent dedication to established operational procedures.
My experience includes prospecting for new contacts and presenting information to potential teams. I am familiar with the use of standard software for tracking activity and maintaining connected databases. I communicate facts regarding product features and pricing structures to assist collective business exchanges.
I am available for an interview to discuss how my background aligns with the requirements of [Company]. Please contact me at your convenience to arrange a time. Thank you for your time and attention to this application.
Regards,
[Your Name]</t>
  </si>
  <si>
    <t>Dear Hiring Manager,
I am writing to express interest in the Sales / Business Development position at [Company] in [Location]. This letter serves as my formal application for the role.
My professional background includes five years of experience in sales operations and client relations. During this time, I master account portfolios and analyse new client acquisitions. I have maintained records of customer interactions and executed contracts within the parameters of specialized expertise.
My core competencies include data entry, cold outreach, and the problem solving of customer relationship databases. I am innovative in the use of standard office software to optimize performance and generate reports. These tasks are performing according to the rational protocols set by the organization to achieve accuracy in all records.
I am available for an interview at your convenience to discuss how my background aligns with the requirements of this position. Thank you for your consideration of this application.
Regards,
[Your Name]</t>
  </si>
  <si>
    <t>Dear Hiring Manager,
I am writing to express interest in the Sales / Business Development position at [Company] in [Location]. This letter serves as my formal application for the role.
My professional background includes five years of experience in sales operations and client relations. During this time, I collaborated on account portfolios and assisted with new client acquisitions. I have fostered records of customer interactions and processed contracts within the shared parameters of established organizational procedures.
My core competencies include data entry, cold outreach, and the management of customer relationship databases. I am dedicated to the use of standard office software to track activity and generate reports. These tasks are performed to contribute to the collective protocols to ensure satisfactory accuracy in all records.
I am available for an interview at your convenience to discuss how my background aligns with the requirements of this position. Thank you for your consideration of this application.
Regards,
[Your Name]</t>
  </si>
  <si>
    <t>Dear Hiring Manager,
I am writing to submit my application for the Sales and Business Development position at [Company] located in [Location]. My background aligns with the requirements stated in the job description.
My professional history includes five years of experience in sales operations. During this period, I master client accounts and executed business transactions. I held responsibility for maintaining records, targeting prospects, and achieving the progress of sales cycles.
I possess specialized expertise in customer relationship management software and data entry. My technical skills include the use of office productivity tools and the analytical forecasting of sales metrics. I optimize performance through documentation and strategise information to internal departments.
I am available for an interview to discuss how my qualifications align with the needs of [Company].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</si>
  <si>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In previous roles, I managed client accounts, directed outreach, and executed service agreements. My daily tasks involved leveraging records and providing innovative information to prospective clients.
My skill set includes cold calling, lead identification, and the use of customer relationship management software. I have mastered contract negotiation and the implementation of price quotations. I am confident in standard office software and proactively achieving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</si>
  <si>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In previous roles, I collaborated with client accounts, conducted outreach, and processed service agreements. My daily tasks involved maintaining records and providing information to prospective clients through a cooperative spirit.
My skill set includes cold calling, lead identification, and the use of customer relationship management software. I have experience with contract negotiation and the contributing of price quotations. I am committed to standard office software and cohesion in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</si>
  <si>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client requests. My primary duties involved maintaining records, targeting potential clients, and presenting innovative information regarding products.
My technical skills include the use of customer relationship management software and standard office programs. I am specialized in cold calling, lead qualification, and the execution of contracts. I maintain a focus on data entry and the creative communication of product solutions to potential purchasers.
I am available for an interview to discuss how my background aligns with the requirements of this role. Please contact me via the information provided on my resume to arrange a meeting.
Regards,
[Your Name]</t>
  </si>
  <si>
    <t>Dear Hiring Manager,
I am writing to submit my application for the Sales and Business Development position at [Company] in [Location].
My professional background includes five years of experience in sales operations. During this period, I managed accounts, pioneered outreach to prospective clients, and handled administrative requirements related to contract processing. I thrived in records of client interactions and leveraged regular updates to management regarding the status of pending transactions.
My skill set includes the use of customer relationship management software and the optimizing of market data. I am self-motivated in identifying potential leads and implementing presentations for meetings. I am also specialised in standard reporting procedures and the execution of internal documentation.
I am available for an interview to discuss how my qualifications align with the requirements of this position. Thank you for your consideration of this application.
Regards,
[Your Name]</t>
  </si>
  <si>
    <t>Dear Hiring Manager,
I am writing to submit my application for the Sales and Business Development position at [Company] in [Location].
My professional background includes five years of experience in sales operations. During this period, I managed accounts, collaborated with prospective clients, and handled administrative requirements related to contract processing. I maintained records of interpersonal interactions and provided regular updates to management regarding the status of collective transactions.
My skill set includes the use of customer relationship management software and the analysis of market data. I am committed to identifying potential leads and preparing presentations for meetings. I am also familiar with standard reporting procedures and the cohesive maintenance of internal contribution and cooperation.
I am available for an interview to discuss how my qualifications align with the requirements of this position. Thank you for your consideration of this application.
Regards,
[Your Name]</t>
  </si>
  <si>
    <t>Dear Hiring Manager,
I am writing to express interest in the Sales position at [Company] located in [Location]. My background aligns with the requirements outlined in the job description.
In my previous roles, I mastered accounts and engaged with prospective clients to discuss product offerings. I analysed records of interactions and processed transactions using specialized expertise. My experience includes targeting potential clients and presenting information regarding innovative services provided by the organization.
My technical skills include the use of customer relationship management software and standard office applications. I am effectively drafting professional correspondence and forecasting reports based on provided data. I possess the ability to strategise schedules and optimize performance associated with the sales process.
I am available for an interview to discuss how my qualifications align with the needs of [Company]. Please contact me via the information provided on my resume to arrange a time for further discussion.
Regards,
[Your Name]</t>
  </si>
  <si>
    <t>Dear Hiring Manager,
I am writing to express interest in the Sales position at [Company] located in [Location]. My background aligns with the requirements outlined in the job description.
In my previous roles, I collaborated with accounts and engaged with prospective clients to discuss product offerings. I fostered records of interactions and processed transactions according to shared procedures. My experience includes identifying potential partners and presenting information regarding services provided by the organization.
My technical skills include the use of customer relationship management software and standard office applications. I am proficient in drafting professional correspondence and preparing reports based on collective data. I possess the ability to assist schedules and manage administrative tasks fostering the sales process to ensure overarching success.
I am available for an interview to discuss how my qualifications align with the needs of [Company]. Please contact me via the information provided on my resume to arrange a time for further discussion.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</si>
  <si>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of experience in sales operations. During this period, I managed accounts and optimizing customer inquiries. I compete for potential clients and implementing interactions within internal databases.
My technical skills include proficiency in customer relationship management software and spreadsheet applications. I possess specialised experience in delivering correspondence and forecasting data summaries. I am autonomous in executing records and innovate standard sales procedures.
I am available for an interview to discuss my qualifications. Please contact me via the information provided on my resume to arrange a meeting. I look forward to your response regarding this application.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</si>
  <si>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of experience in sales operations. During this period, I collaborated with accounts and processed clients inquiries. I performed outreach to potential teams and communicated interactions within internal databases.
My technical skills include proficiency in customer relationship management software and spreadsheet applications. I possess experience in dedicating correspondence and preparing data summaries. I am connected to maintaining records and fostering standard sales services procedures.
I am available for an interview to discuss my qualifications. Please contact me via the information provided on my resume to arrange a meeting. I look forward to your response regarding this application.
Regards,
[Your Name]</t>
  </si>
  <si>
    <t>Dear Hiring Manager,
I am writing to express my interest in the Sales position at [Company] in [Location]. Please accept this letter and the attached resume as formal application for the role.
My professional background includes five years of experience in sales and business development. In previous positions, I collaborated with accounts, connected with potential clients, and maintained records of interactions. These roles required consistent communication with existing and prospective customers to assist with product information.
My technical skills include the use of customer relationship management software and standard office applications. I am proficient in fostering schedules, conducting research on market segments, and drafting correspondence. These shared methods allow for the satisfactory processing of inquiries and the collective management of sales pipelines.
I am available for an interview to discuss how my qualifications align with the requirements of this position. Thank you for your time and consideration of this application.
Regards,
[Your Name]</t>
  </si>
  <si>
    <t>Dear Hiring Manager,
I am writing to express interest in the Sales position at [Company] in [Location]. This letter serves as a formal application for the vacancy.
My background includes five years of experience in sales operations. During this period, I managed client accounts, implementing contracts, and forecast market data. I am familiar with the specialised procedures required for client acquisition and account maintenance.
My technical skills include proficiency in CRM software, data entry, and professional communication. I execute tasks such as generating reports, optimizing schedules, and delivering client interactions. These autonomous activities are completed according to strategic office protocols.
I am available for an interview to discuss this role. Please contact me via the information provided on my resume to arrange a meeting time.
Regards,
[Your Name]</t>
  </si>
  <si>
    <t>Dear Hiring Manager,
I am writing to express interest in the Sales position at [Company] in [Location]. This letter serves as a formal application for the vacancy.
My background includes five years of experience in sales operations. During this period, I collaborated with client accounts, processed contracts, and tracked market data. I am dedicated to the standard procedures required for joint client acquisition and account maintenance.
My technical skills include proficiency in CRM software, data entry, and professional communication. I assist with tasks such as generating reports, organizing schedules, and sharing client interactions. These activities are contributed to collective office protocols.
I am available for an interview to discuss this role. Please contact me via the information provided on my resume to arrange a meeting time.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</si>
  <si>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executed client contracts. I analyse records of transactions and provide specialized information regarding products to current and prospective clients.
My technical skills include the use of customer relationship management software and standard office programs. I pioneer cold calling, lead qualification, and the analytical preparation of sales reports. I strategise professional communication with clients through email and telephone correspondence to achieve ambitious goals.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</si>
  <si>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 on accounts and processed clients contracts. I maintained records of transactions and assist information regarding products to current and prospective teams.
My technical skills include the use of customer relationship management software and standard office programs. I am dedicated in cold calling, lead qualification, and the preparation of sales reports. I communicate professional service with shared through email and telephone correspondence.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</si>
  <si>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My interest in this role is based on the professional requirements listed in the job description.
My background includes five years of experience in sales roles at [Company] in [Location]. During this period, I collaborated with clients and conducted outreach activities. I assisted customer inquiries and maintained records of interpersonal interactions.
My skill set includes the use of customer relationship management software and the preparation of business documentation. I am able to conduct cold outreach and contribute product information to potential teams. I also possess experience in the maintenance of sales pipelines and the cohesive analysis of market data fostering harmony.
Please find my resume attached for your review. I am available for an interview at your convenience to discuss the details of this position. Thank you for your time.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</si>
  <si>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master client accounts and strategise professional relationships with various contacts. I analyse tasks related to market forecasting and outreach to prospective clients.
My skill set includes the use of customer relationship management software and the preparation of business reports. I act decisively in organizing schedules and optimize performance in a structured manner. I leverage office records and innovated information through written and verbal channels.
I am available for an interview to discuss how my qualifications meet the needs of [Company]. Thank you for your time and consideration of this application.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</si>
  <si>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collaborated on account portfolios and processed new clients. I fostered records of shared interactions and performed outreach to prospective accounts.
My technical proficiencies include the use of customer relationship management software and data analysis tools. I possess experience in dedicating proposals and preparing reports for collective review. I am motivated with managing administrative tasks and fostering harmony for meetings.
I am available for an interview to discuss this role. Please contact me via the email address or phone number provided on my resume. Thank you for your time and consideration.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</si>
  <si>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transactions for clients. I strategise business interactions and leverage communication regarding product availability.
My technical skills include the use of customer relationship management software and data entry systems. I pioneer professional correspondence and optimize performance in reports. My work promotes the organization of schedules and innovated internal databases.
Please find my resume attached for your review. I am available for an interview at your convenience to discuss the requirements of the position. Thank you for your time and consideration.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</si>
  <si>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 with accounts and assist transactions for clients. I fostered records of business interactions and communicated information regarding product availability.
My technical skills include the use of customer relationship management software and data entry systems. I possess experience in dedicating professional correspondence and preparing shared reports. My work involves the fostering of schedules and the build of collective databases.
Please find my resume attached for your review. I am available for an interview at your convenience to discuss the requirements of the position. Thank you for your time and consideration.
Regards,
[Your Name]</t>
  </si>
  <si>
    <t>Dear Hiring Manager,
I am writing to express my interest in the Sales position at [Company] located in [Location]. This letter serves as a formal application for the vacancy.
My professional background includes five years of experience in sales and business development. During this time, I master client accounts, analyse market research, and processed inquiries. I have held positions where I strategise records, communicated with prospects, and updated internal documentation to achieve results.
My technical skills include the use of customer relationship management software and spreadsheet applications. I have specialized experience with cold outreach, lead qualification, and the innovative preparation of business proposals. I am capable of effectively organizing schedules and forecasting metrics related to sales activity to optimize performance.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</si>
  <si>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a formal application for the vacancy.
My professional background includes five years of experience in sales and business development. During this time, I partnered with client accounts, performed market research, and assisting inquiries. I have held positions where I maintained records, communicated with prospects, and collaborated on internal documentation.
My technical skills include the use of customer relationship management software and spreadsheet applications. I have experience with cold outreach, lead qualification, and the contribution of business proposals. I am capable of sharing schedules and contributing metrics related to cooperative spirit activity.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</si>
  <si>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my formal application for the role.
My professional background includes five years of experience in sales and business development. During this time, I collaborated with client accounts and processed sales agreements. I fostered professional communication with existing clients and contacted potential prospects to provide information regarding services.
My technical skills include data entry, CRM software operation, and the preparation of business reports. I possess the ability to connect with logs and organize documentation. I am a team-player in the use of office software and maintain shared records of collective interactions.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</si>
  <si>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executed transactions within the [Industry] sector. I optimized records and forecast activity status to management.
My skill set includes cold calling, lead identification, and contract negotiation. I leverage CRM software to implement interactions and organize client information. I am autonomous in presenting product information to potential customers and delivering inquiries regarding pricing and terms.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</si>
  <si>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acquisition. In my previous position at [Company], I master account portfolios and executed new contracts. My work involved targeting prospective clients and strategising records of business transactions.
My professional skills include CRM data entry, cold outreach, and contract negotiation. I am performing reports, forecasting sales metrics, and innovating with clients via email and telephone. I leverage organization in my daily tasks and achieve standard business procedures.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</si>
  <si>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 accounts and analyse client requests. I maintained records of transactions and provided innovative information regarding products to potential customers.
My technical abilities include the use of customer relationship management software and standard office applications. I possess specialized experience in cold outreach, lead qualification, and contract preparation. I am capable of strategising schedules and forecasting metrics related to sales volume to achieve ambitious goals.
I am available for an interview to discuss this role. Please contact me via the information provided on my resume to act decisively and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</si>
  <si>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on accounts and processed clients requests. I maintained records of transactions and contributed information regarding products to potential teams.
My technical abilities include the use of customer relationship management software and standard office applications. I possess dedication in cold outreach, lead qualification, and contract preparation. I am committed to organizing schedules and fostering harmony related to sales volume.
I am available for an interview to discuss this role. Please contact me via the information provided on my resume to arrange a meeting.
Regards,
[Your Name]</t>
  </si>
  <si>
    <t>Dear Hiring Manager,
I am writing to express my interest in the Procurement position at [Company] located in [Location]. My background includes experience in sourcing and supply chain activities within various organizational structures.
My professional history involves managing vendor relations and processing purchase orders. I have been responsible for maintaining inventory records and verifying the accuracy of incoming shipments. These analytical tasks were executed in accordance with specialized procurement procedures.
My technical skills include the use of enterprise resource planning software and spreadsheet applications for data entry. I have experience in forecasting invoices and strategise discrepancies in procurement documentation. I am able to act decisively on multiple administrative tasks and optimize performance of vendor activity.
I am available to discuss my qualifications for this role. Please contact me to arrange an interview. Thank you for your time.
Regards,
[Your Name]</t>
  </si>
  <si>
    <t>Dear Hiring Manager,
I am submitting my application for the Procurement position at [Company] located in [Location]. This letter expresses my interest in the vacancy as advertised.
My professional background includes five years of experience in supply chain operations. I have mastered vendor contracts, processed purchase orders, and maintained inventory records. Previous responsibilities involved the analytical assessment of supplier performance and the specialized maintenance of procurement documentation.
My technical skills include the use of enterprise resource planning software and data analysis tools. I possess innovative experience in the forecasting of pricing structures and the execution of logistics workflows. I am performing the maintenance of records and the strategising of procurement requests to achieve established internal procedures.
I am available for an interview to discuss my qualifications for this position. Please contact me via the information provided on my resume to arrange a meeting. Thank you for your time regarding this application.
Regards,
[Your Name]</t>
  </si>
  <si>
    <t>Dear Hiring Manager,
I am submitting my application for the Procurement position at [Company] located in [Location]. This letter expresses my interest in the vacancy as advertised.
My professional background includes five years of experience in supply chain operations. I have collaborated on vendor contracts, processed purchase orders, and fostered inventory records. Previous responsibilities involved the shared assessment of supplier performance and the dedication of procurement documentation.
My technical skills include the use of enterprise resource planning software and data analysis tools. I possess experience in the joint evaluation of pricing structures and the cohesive management of logistics workflows. I am trusted in the maintenance of records and the processing of procurement requests contributing to collective goals.
I am available for an interview to discuss my qualifications for this position. Please contact me via the information provided on my resume to arrange a meeting. Thank you for your time regarding this application.
Regards,
[Your Name]</t>
  </si>
  <si>
    <t>Dear Hiring Manager,
I am writing to apply for the Procurement position at [Company] located in [Location]. This letter serves to express interest in the vacancy as advertised.
My background includes five years of experience in supply chain operations. During this period, I managed inventory records, processed purchase orders, and leveraged vendor correspondence. I thrived in tasks related to contract administration and logistics coordination within [Company], implementing strategic workflows.
My technical abilities include the use of enterprise resource planning software and data entry systems. I have specialised in forecasting price trends, verifying invoices, and optimizing shipment schedules. I possess creative experience in vendor evaluation and the autonomous maintenance of procurement documentation.
I am available for an interview at your convenience to discuss the requirements of the role. Please contact me via the information provided in my resume. Thank you for your time regarding this application.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</si>
  <si>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master vendor contracts, processed purchase orders, and monitored inventory levels. I analyse records of transactions and verified that all documentation promotes internal procurement policies.
My technical proficiency includes the use of enterprise resource planning software to track vendor performance. I possess specialized expertise in data entry, analytical cost forecasting, and the preparation of reports regarding material availability. I strategise procurement procedures and the maintenance of supply schedules to achieve ambitious goals.
I am available for an interview to discuss this role. Please contact me via the information provided in my resume. Thank you for your time and consideration of this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</si>
  <si>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five years of experience in supply chain operations. During this period, I managed vendor contracts, executed purchase orders, and monitored inventory levels. I consistently maintained records of procurement activities and proactively communicated with suppliers to verify order status and shipping timelines.
My technical skills include the use of enterprise resource planning software to optimise materials. I possess ambitious experience in data entry, invoice reconciliation, and document filing. I am decisive in procurement procedures and the analysing of vendor performance metrics to ensure achieving established agreements.
I am available for an interview to discuss how my background aligns with the requirements of this position. Thank you for your time and consideration of my application.
Regards,
[Your Name]</t>
  </si>
  <si>
    <t>Dear Hiring Manager,
I am writing to apply for the Procurement position at [Company] in [Location]. My interest in this role is based on the job description provided.
My professional background includes five years of experience in supply chain operations. During this period, I managed vendor contracts, implementing purchase orders, and optimizing inventory records. I thrived in tasks related to procurement cycles and logistics, leveraging my individual skills.
My technical skills include the use of enterprise resource planning software and data entry systems. I have specialised in vendor evaluation, strategic price negotiation, and the innovative analysis of supply chain data. I am self-motivated with procurement documentation and creative office software applications.
I am available for an interview to discuss my qualifications for this position. Please contact me at your convenience.
Regards,
[Your Name]</t>
  </si>
  <si>
    <t>Dear Hiring Manager,
I am writing to apply for the Procurement position at [Company] in [Location]. My interest in this opening is based on the requirements listed in the job description.
My professional background includes five years of experience in supply chain operations. During this time, I master vendor relationships and executed the procurement of raw materials. I also analyse purchase orders and optimize performance of inventory within [Company] systems.
I possess specialized expertise in data analysis, contract review, and inventory management. My daily tasks involve the use of enterprise resource planning software to strategise stock levels and innovate vendor invoices. I leverage records of procurement activities to ensure that all documentation is achieving accuracy.
I am available for an interview to discuss how my background aligns with the needs of [Company]. Please contact me via phone or email to arrange a meeting at your convenience.
Regards,
[Your Name]</t>
  </si>
  <si>
    <t>Dear Hiring Manager,
I am writing to apply for the Procurement position at [Company] located in [Location]. This letter serves as a formal expression of interest in the vacancy.
My background includes work in supply chain operations. I have executed tasks related to vendor management, contract administration, and inventory oversight. My professional history involves the analytical maintenance of procurement records and the effectively processing of purchase orders.
The skills I possess include specialized expertise, the use of enterprise resource planning software, and the management of vendor databases. I am capable of forecasting price variances and strategise standard procurement procedures. These innovative skills are applied to the daily functions required for achieving supply chain ambitious goals.
I am available for an interview to discuss my qualifications for this position. Please contact me via the information provided in my application file. Thank you for your time regarding this matter.
Regards,
[Your Name]</t>
  </si>
  <si>
    <t>Dear Hiring Manager,
I am writing to submit my application for the Procurement role at [Company] in [Location]. My interest in this position is based on the stated requirements for the management of supply chain operations.
My professional background includes five years of experience in procurement and vendor management. During this period, I collaborated on procurement cycles, processed purchase orders, and fostered records of vendor performance. I have contributed to tasks related to contract administration and inventory control within cohesive operational settings.
My technical skills include the use of enterprise resource planning software and data analysis programs. I build records for procurement activities and assist with supplier status. I possess experience in dedicating procurement documentation and sharing financial reports to ensure mutual trust.
I am available for an interview to discuss my qualifications for this position. Please contact me via the information provided on my resume to arrange a meeting.
Regards,
[Your Name]</t>
  </si>
  <si>
    <t>Dear Hiring Manager,
I am writing to apply for the Procurement position at [Company] located in [Location]. This letter serves to express my interest in the vacancy as advertised.
My professional background includes five years of experience in supply chain operations. During this period, I master vendor contracts, processed purchase orders, and analyse inventory levels. These activities were conducted to optimize performance within the organization.
My technical skills include the use of enterprise resource planning software to strategise procurement cycles. I possess specialized expertise in data entry, vendor communication, and the forecasting of material costs. These tasks are executed to provide innovative documentation and achieve accurate records of supply chain activities.
I am available to discuss my qualifications for this role. Please contact me via the information provided in my resume to arrange an interview.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</si>
  <si>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maintained inventory records. I thrived within established organizational frameworks to ensure the execution of material acquisition.
My technical proficiency includes the use of enterprise resource planning software and data analysis tools. I possess specialised experience in contract review, price negotiation, and the optimizing of vendor performance metrics. These activities are implementing to innovate the flow of goods and services according to strategic operational requirements.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</si>
  <si>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apply for the Procurement position at [Company] located in [Location]. This application is based on the requirements listed in the job advertisement.
My professional background includes five years of experience in supply chain operations. During this period, I managed vendor contracts, processed purchase orders, and maintained inventory records. I thrived performing inventory audits and verified documentation against internal records.
My technical skills include the use of enterprise resource planning software and data entry systems. I have leveraged experience in analyzing price variances and implementing supply contracts for accuracy. I am specialised in procurement procedures and optimizing the documentation of vendor performance metrics.
I am available for an interview to discuss my qualifications for this position. Please contact me via the information provided on my resume.
Regards,
[Your Name]</t>
  </si>
  <si>
    <t>Dear Hiring Manager,
I am writing to express my interest in the Procurement position at [Company] in [Location]. Please accept this letter as a formal application for the vacancy.
My professional history includes five years of experience within the supply chain sector. During this period, I collaborated on vendor contracts and processed purchase orders. I fostered records of inventory levels and performed data entry tasks to contribute to material flow.
My technical abilities include the use of enterprise resource planning software and spreadsheet programs for inventory tracking. I possess experience in team-player communication and the review of contract terms. My work involves the joint assessment of supplier pricing and the dedicated maintenance of procurement documentation.
I am available for an interview to discuss this position. Please contact me at your convenience to arrange a meeting. Thank you for your shared consideration of this satisfactory application.
Regards,
[Your Name]</t>
  </si>
  <si>
    <t>Dear Hiring Manager,
I am writing to apply for the Procurement position at [Company] located in [Location]. This letter expresses my interest in the vacancy as advertised.
My professional background includes five years of experience in supply chain operations. During this period, I mastered vendor contracts, executed purchase orders, and forecasted inventory levels. I analysed records of transactions and pioneered the procurement process for goods and materials.
My technical skills include data entry, use of enterprise resource planning software, and analytical evaluation of vendor pricing. I possess specialized expertise in drafting procurement documentation and optimizing supply databases. I strategise standard procurement procedures and promote reports regarding vendor performing metrics.
I am available for an interview to discuss this application. Please contact me via the information provided on my resume to arrange a meeting.
Regards,
[Your Name]</t>
  </si>
  <si>
    <t>Dear Hiring Manager,
I am writing to apply for the Procurement position at [Company] in [Location]. This letter serves as a formal expression of interest in the vacancy.
My professional background includes five years of experience in supply chain operations. During this period, I was managing vendor contracts and optimizing inventory levels. I implemented records of procurement activities and verified that all documentation strategically aligned with internal requirements.
My technical skills include the use of enterprise resource planning software and data analysis tools. I possess insight in contract review and vendor performance assessment. I am driven in procurement cycles, creative cost analysis, and proactive inventory management procedures.
I have attached my resume for your review. I am available for an interview at your convenience to discuss the objective of the position.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</si>
  <si>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optimised inventory levels. These tasks required the maintenance of accurate records and the strategic observation of operational procedures.
My core competencies include data analysis, procurement software operation, and contract administration. I possess specialised experience in vendor communication, the execution of invoices, and the forecasting of status reports. I maintain a creative focus on the technical requirements of procurement workflows and the innovative documentation of supply chain activities.
I am available for an interview to discuss how my ambition aligns with the requirements of this position. Thank you for your time and consideration of this application.
Regards,
[Your Name]</t>
  </si>
  <si>
    <t>Dear Hiring Manager,
I am writing to submit my application for the Procurement position at [Company] located in [Location]. My background includes professional experience in purchasing and supply chain operations.
My previous work history involves the cooperative management of vendor contracts and the procurement of materials. I have contributed tasks related to order processing, inventory tracking, and the review of supplier performance metrics. These responsibilities were built within cohesive operational frameworks.
My technical skills include the use of enterprise resource planning software and data entry systems. I possess experience in the joint evaluation of price quotes and the shared maintenance of procurement documentation. I am able to support routine administrative tasks and collaborate regarding supply chain activities.
I am available for an interview to discuss my qualifications for this position. Please contact me via the information provided on my resume.
Regards,
[Your Name]</t>
  </si>
  <si>
    <t>Dear Hiring Manager,
I am writing to apply for the Procurement position at [Company] in [Location]. This letter serves as a formal expression of interest in the role as advertised.
My professional background includes five years of experience in supply chain operations. During this period, I master vendor contracts, processed purchase orders, and monitored inventory levels. I maintained records of transactions and verified that all received items met the ambitious goals of the organization.
My technical skills include the use of enterprise resource planning software and data entry systems. I have specialized expertise in forecasting price fluctuations and comparing vendor quotes based on analytical criteria. I am innovating the use of spreadsheets for tracking procurement cycles and achieving results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</si>
  <si>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ten years of experience in project coordination and program oversight. During this time, I collaborate on various operational tasks and contribute to schedules for multiple workstreams. I have held positions at [Company] where I support the progress of assigned projects through a cooperative spirit.
My technical abilities include the use of industry-standard software for project tracking and resource allocation. I am proficient in the sharing of progress reports, the maintenance of project documentation, and the joint coordination of internal workflows. I possess experience in budget monitoring and the communicating of project status updates to ensure mutual success.
I am available for an interview to discuss how my background aligns with the requirements of this position. Thank you for your time and consideration of this application.
Regards,
[Your Name]</t>
  </si>
  <si>
    <t>Dear Hiring Manager,
I am writing to express my interest in the Project Management position at [Company] in [Location]. This letter serves as a formal application for the vacancy as advertised.
My professional background includes experience in the implementing of projects and programs across various sectors. I have thrived in roles involving the coordination of tasks, the optimizing of schedules, and the oversight of project life cycles. My work has involved the maintenance of project documentation and the forecasting of project progress.
My technical proficiency includes the use of innovative project management software and methodologies. I possess experience in budget tracking, overcoming challenges, and resource allocation. I am familiar with the processes required to execute project timelines and to leverages status updates to relevant stakeholders.
I am available for an interview to discuss this application further. Thank you for your time and consideration of my background for this position.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</si>
  <si>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where I managed projects and programmes within [Company]. During my tenure, I leveraged project schedules, monitored budgets, and addressed operational requirements. I have consistently maintained documentation and tracked project status through various phases of completion.
My technical experience includes the application of specialised project management methodologies. I have performed tasks related to resource allocation, risk identification, and progress reporting. I have executed standard software tools to optimize performance and organize project information.
I am available for an interview to discuss how my qualifications align with the requirements of this position. Thank you for your time and consideration of my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</si>
  <si>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managing projects and programmes within [Company]. During my tenure, I collaborate on project schedules, monitored budgets, and support operational requirements. I have contributed documentation and tracked project status through various phases of cooperative completion.
My technical experience includes the application of standard project management methodologies. I have committing tasks related to resource allocation, risk identification, and communicated progress reporting. I have built standard software tools to track milestones and harmonize project information.
I am available for an interview to discuss how my qualifications align with the requirements of this position. Thank you for your time and consideration of my application.
Regards,
[Your Name]</t>
  </si>
  <si>
    <t>Dear Hiring Manager,
I am writing to express interest in the Project Management position at [Company] in [Location]. This letter serves as a formal application for the vacancy as advertised.
My professional background includes ten years of experience in project and programme management. During this period, I master project life cycles, strategise resources, and maintained documentation for various initiatives. These roles required the coordination of schedules and the analytical management of project budgets.
My technical competencies include the use of project management software, the creation of status reports, and the maintenance of project logs. I possess specialized expertise in risk identification and the executed task plans. I optimize performance for project files and ensure that innovative processes remain aligned with ambitious goals and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</si>
  <si>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in [Location]. This letter serves as a formal application for the vacancy as advertised.
My professional background includes ten years of experience in project and programme management. During this period, I collaborated on project life cycles, assisted resources, and fostered documentation for various initiatives. These roles required the sharing of schedules and the joint management of project budgets.
My technical competencies include the use of project management software, the contribution of status reports, and the maintenance of project logs. I possess experience in risk identification and the dedication of task plans. I build project files and ensure that processes remain connected with shared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</si>
  <si>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ten years of experience in project coordination and program oversight. During this period, I managed project lifecycles, forecasted budgets, and tracked timelines for multiple organizational initiatives. My work involves the optimisation of resources and the innovation of project documentation.
My technical skills include the use of project management software, data analysis, and the preparation of progress reports. I possess experience in risk assessment, stakeholder communication, and the strategy of project milestones. These activities are executed to ensure project activities thrive with established parameters.
I am available for an interview to discuss this application further.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</si>
  <si>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ten years of experience in project coordination and program oversight. During this period, I have built project lifecycles, monitored budgets, and tracked timelines for collective organizational initiatives. My work involves the assisting of resources and the fostering of project documentation.
My technical skills include the use of project management software, data analysis, and the preparation of progress reports. I possess experience in risk assessment, client communication, and the joint monitoring of project milestones. These activities are partnered to ensure project activities remain shared with mutual parameters.
I am available for an interview to discuss this application further. Please contact me via the information provided in my resume to arrange a meeting.
Regards,
[Your Name]</t>
  </si>
  <si>
    <t>Dear Hiring Manager,
I am writing to submit my application for the Project Management position at [Company] located in [Location]. This letter serves as a formal expression of interest in the vacancy.
My professional background includes the master of projects and programmes across various sectors. I have held positions where I analyse project documentation, monitored schedules, and verified that project milestones met defined requirements. My experience involves the coordination of resources and the rational assessment of project status.
My skill set includes the use of project management software, the forecasting of budgets, and the production of status reports. I possess experience in risk identification and the specialized expertise to optimize performance to maintain project progression. I am capable of managing timelines and ensuring that project data remains accurate.
I am available for an interview to discuss this application. Please contact me via the information provided in my resume to arrange a meeting. Thank you for your consideration of these qualifications.
Regards,
[Your Name]</t>
  </si>
  <si>
    <t>Dear Hiring Manager,
I am writing to submit my application for the Project Management position at [Company] located in [Location]. This letter serves as a formal expression of interest in the vacancy.
My professional background includes the management of projects and programmes across various sectors. I have held positions where I collaborate on project documentation, monitored schedules, and verified that project milestones met shared requirements. My experience involves the fostering of resources and the assessment of project status to ensure collective success.
My skill set includes the use of project management software, the tracking of budgets, and the production of status reports. I possess experience in risk identification and the joint application of methodologies to build project progression. I am capable of managing timelines and ensuring that project data remains connected to mutual trust and satisfactory results.
I am available for an interview to discuss this application. Please contact me via the information provided in my resume to arrange a meeting. Thank you for your consideration of these qualifications.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</si>
  <si>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master various projects from initiation to completion. These projects involved resource allocation, budget management, and the analytical coordination of project phases within ambitious goals.
My technical proficiency includes the specialized application of standard project management methodologies and software tools. I possess experience in risk assessment, schedule maintenance, and the innovative production of status reports. I strategise records and data to ensure project documentation remains effectively accurate and accessible.
I am available for an interview to discuss how my professional background meets the requirements of the position. Please contact me via the provided email or phone number to arrange a time for further discussion regarding this application.
Regards,
[Your Name]</t>
  </si>
  <si>
    <t>Dear Hiring Manager,
I am writing to submit my application for the Project Manager position at [Company]. This letter serves to express my interest in the role as advertised.
My professional background includes experience in the specialized expertise and oversight of operational tasks. In previous positions at [Company] located in [Location], I executed duties related to scheduling, resource allocation, and progress monitoring. These roles required the maintenance of project documentation and the analytical coordination of internal processes.
My technical experience includes the application of innovative methodologies for project lifecycles. I possess proficiency in the use of project management software and data analysis tools to optimize performance against established metrics. My tasks have included the preparation of status reports, the problem solving of procedural gaps, and the decision to leverage project budgets.
I am available for an interview to discuss my qualifications for this position. Please contact me at your convenience to arrange a meeting.
Regards,
[Your Name]</t>
  </si>
  <si>
    <t>Dear Hiring Manager,
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overcame project life cycles, resource allocation, and progress reporting. These roles involved the innovative coordination of tasks to deliver defined requirements.
My technical proficiency includes the implementation of standard methodologies to organize workflows and maintain documentation. I possess insightful experience in budget monitoring, risk assessment, and the maintenance of project schedules. These effective practices are used to ensure that tasks remain driven within established parameters and results timelines.
I am available to discuss this application further. Please contact me via the information provided in my resume to arrange a meeting. Thank you for your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</si>
  <si>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the administration of projects within [Company]. During my time in these roles, I analyse documentation, tracked project timelines, and strategise resources according to established project requirements. I executed these functions within [Location] for a period of five years.
My proficiency includes the use of project management software, the specialized expertise of standard methodologies, and the preparation of status reports. I am capable of optimizing performance for project schedules, monitoring budget allocations, and innovating updates to stakeholders. I possess the analytical skills required to achieve these tasks.
I am available for an interview to discuss my qualifications further. Please contact me at your convenience to arrange a meeting. Thank you for your time and for reviewing my application materials.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</si>
  <si>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and other organizations. During these periods, I thrived in the status of project timelines, the allocation of resources, and the documentation of internal processes. My work focused on the execution of tasks in accordance with strategic parameters.
I possess experience in the application of project management methodologies. My specialised skills include the use of project management software, the implementing of progress reports, and the optimizing of budget expenditures. I manage records of project milestones and leverages status updates to stakeholders through innovative reporting channels.
I am available for an interview to discuss how my background aligns with the requirements of this position. Please contact me at your convenience to arrange a meeting. Thank you for your review of these materials.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</si>
  <si>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within [Company] and [Company]. During these periods, I master project lifecycles, analyse budget allocations, and tracked progress against ambitious goals. These positions required the specialized expertise of documentation and the coordination of project components.
I possess experience in the application of project management methodologies, including the use of scheduling software and resource tracking tools. My duties have included the forecasting of status reports, the analytical identification of procedural variances, and the innovative maintenance of project records. I act decisively in the use of standard office software and technical tools for data management to achieve results.
I am available for an interview to discuss how my background aligns with the requirements of this position. Please contact me via the information provided on my resume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</si>
  <si>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mastering projects and programmes within [Company] environments. I have executed project lifecycles, monitored budgets, and tracked timelines. My work involved the analytical coordination of resources and the assessment of progress against ambitious goals.
I possess specialized expertise in project management software and standard reporting methodologies. My tasks have included the innovative documentation of project status, the management of risk logs, and the effectively communicated updates to stakeholders. I am familiar with creative project management frameworks and the strategise application of these methodologies to daily operations.
I am available for an interview to discuss this application. Please contact me via the provided details to arrange a meeting at your convenience.
Regards,
[Your Name]</t>
  </si>
  <si>
    <t>Dear Hiring Manager,
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have executed multiple projects from initiation to completion. I have forecasted project lifecycles and directed the allocation of resources. My work has involved the maintenance of project schedules and the analytical tracking of internal metrics.
I possess specialized expertise in project management software, budget administration, and quality assurance processes. My innovative skills include the use of industry-standard tools to optimize performance and track status updates. I strategise logs of project progress and leverage reports for stakeholders based on the data collected.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</si>
  <si>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Project Management position at [Company] in [Location]. This letter serves as a formal expression of interest in the role as described in the job listing.
My professional background includes experience in managing projects and programmes across various sectors. Previous assignments involved the coordination of resources, the tracking of timelines, and the management of project budgets. I have executed these tasks in alignment with ambitious goals and operational standards.
My core competencies include the creation of project schedules, the preparation of status reports, and the management of project documentation. I am proficient in the use of standard project management software and possess specialized expertise of methodologies used to analyse progress. These individual skills allow me to act decisively and optimize performance within project environments.
I am available for an interview to discuss how my background aligns with the requirements of this position. Thank you for your consideration of this application. I look forward to receiving your response.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</si>
  <si>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and programmes within corporate environments. I have collaborated on timelines, budgets, and operational requirements across multiple phases of project lifecycles. My history involves fostering structured methodologies to maintain progress on shared tasks.
My skill set includes the use of project management software, data reporting, and resource allocation. I am experienced in identifying project requirements, tracking milestones, and communicating status updates to clients. I maintain documentation and perform analysis to contribute to collective project status against long term parameters.
I am available for an interview to discuss how my experience aligns with the requirements of this position. Thank you for your time and consideration of my application.
Regards,
[Your Name]</t>
  </si>
  <si>
    <t>Dear Hiring Manager,
I am writing to submit my application for the Project Manager position at [Company] in [Location]. This letter serves as a formal expression of interest in the role as advertised.
My professional background includes experience in managing project lifecycles within corporate environments. I have occupied positions where I collaborate on project progress, maintained documentation, and contribute to tasks according to established timelines. These roles required the use of standard project management methodologies to ensure that collective goals were satisfied as scheduled.
My technical proficiency includes the use of project management software, budget tracking, and resource allocation. I have experience in risk assessment, status reporting, and the fostering of project logs. I am capable of building project documentation and communicating status updates to clients through shared channels.
I am available for an interview to discuss my qualifications further. Please contact me via the information provided in my resume to arrange a meeting. Thank you for your time and consideration of this application.
Regards,
[Your Name]</t>
  </si>
  <si>
    <t>Dear Hiring Manager,
I am writing to submit my application for the Project Management position at [Company] in [Location]. This letter serves as a formal expression of interest in the vacancy currently open within your organization.
My professional background includes the mastery of projects within [Company] and [Company]. During these periods, I analysed documentation, tracked project timelines, and strategised the distribution of resources. My work involved the innovative observation of project life cycles from initiation to completion.
I possess specialized expertise in standard project management software and internal reporting tools. My analytical tasks included the creation of status reports, the forecasting of budgets, and the execution of schedules. I effectively maintained records of project progress and promotesd updates to stakeholders as required.
I am available for an interview to discuss my qualifications for this role. I look forward to receiving your response regarding the next steps in the recruitment process.
Regards,
[Your Name]</t>
  </si>
  <si>
    <t>Dear Hiring Manager,
I am writing to submit my application for the Project Management position at [Company] in [Location]. This letter serves as a formal expression of interest in the vacancy currently open within your organization.
My professional background includes the management of projects within [Company] and [Company]. During these periods, I collaborated on documentation, tracked project timelines, and assisted the distribution of resources. My work involved the fostering of project life cycles from initiation to completion, dedicating my efforts to collective goals.
I possess proficiency in standard project management software and internal reporting tools. My routine tasks included the sharing of status reports, the monitoring of budgets, and the build of schedules. I maintained records of project progress and communicated updates to stakeholders, fostering harmony through shared responsibility.
I am available for an interview to discuss my qualifications for this role. I look forward to receiving your response regarding the next steps in the recruitment process.
Regards,
[Your Name]</t>
  </si>
  <si>
    <t>Dear Hiring Manager,
I am writing to express interest in the Project Management position at [Company] in [Location]. This letter serves as a formal application for the role as advertised.
My professional background includes experience in managing project lifecycles within [Company]. I have held responsibility for the cooperative coordination of resources, the monitoring of timelines, and the communicating of project status to stakeholders. My work has contributed to the execution of tasks according to shared project plans.
I possess proficiency in standard project management methodologies and software tools. My tasks involve the developing with of project schedules, the management of budgets, and the assisting of project requirements. I am experienced in the use of data for the collaborating of project progress and the understanding of variances from the collective goals.
I am available for an interview to discuss my qualifications for this position. Please contact me via the provided details to arrange a meeting at your convenience.
Regards,
[Your Name]</t>
  </si>
  <si>
    <t>Dear Hiring Manager,
I am writing to express interest in the Project Management position at [Company] located in [Location]. This letter serves as a formal application for the vacancy as advertised.
My professional background includes ten years of experience in project and programme management. During this period, I master responsibility for the coordination of resources, the tracking of schedules, and the analytical management of project documentation. My previous roles required the execution of projects within defined parameters and the forecasting of status updates to stakeholders.
My technical competencies include the application of standard project management methodologies, the creation of project plans, and the management of budgets. I possess specialized expertise in the use of project management software for task tracking and data insight. These innovative skills allow for the maintenance of project records and the optimizing of progress against ambitious goals.
I am available for an interview to discuss how my experience aligns with the requirements of this position. Thank you for your time and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</si>
  <si>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ten years of experience in project and programme management. During this period, I maintained dedication for the coordination of resources, the tracking of schedules, and the collaboration of project documentation. My previous roles required the contributing of projects within defined parameters and the communicating of status updates to stakeholders.
My technical competencies include the application of standard project management methodologies, the creation of project plans, and the cohesion of budgets. I possess proficiency in the use of project management software for task tracking and data analysis. These skills allow for the cooperative spirit of project records and the joint monitoring of progress against established timelines.
I am available for an interview to discuss how my experience aligns with the requirements of this position. Thank you for your time and understanding of this collective application.
Regards,
[Your Name]</t>
  </si>
  <si>
    <t>Dear Hiring Manager,
I am writing to express interest in the Project Management position at [Company] in [Location]. This letter serves as a formal application for the role as advertised.
My professional background includes specialized expertise in the administration of projects and programs. I have strategise timelines and resource allocations within [Company] and other organizational settings. My responsibilities have involved the analytical monitoring of project phases and the reporting of status updates to stakeholders.
My technical experience includes the innovative application of project management methodologies to organize tasks and maintain documentation. I possess experience in the use of standard software tools for the forecasting of project metrics. I analyse records of project progress and act decisively to verify that outputs achieve established project requirements.
I am available for an interview to discuss how my background aligns with the requirements of this role. Please contact me via the information provided in my resume to arrange a meeting.
Regards,
[Your Name]</t>
  </si>
  <si>
    <t>Dear Hiring Manager,
I am writing to submit my application for the Project Manager position at [Company] in [Location]. This letter serves as a formal expression of interest in the vacancy currently open within your organization.
My professional background includes five years of experience in project coordination and resource management. During this time, I executed project lifecycles from initiation to closure. My responsibilities included budget tracking, schedule monitoring, and the analytical preparation of progress reports for stakeholders.
My technical proficiency includes the use of project management software for task tracking and data forecasting. I maintain documentation according to specialized protocols and monitor project milestones to optimize performance within the defined parameters. I am experienced in the application of innovative methodologies to strategise project workflows and maintain records.
I am available for an interview to discuss how my individual skills align with the requirements of this role. Please contact me at your convenience to arrange a meeting. Thank you for your time and consideration of this application.
Regards,
[Your Name]</t>
  </si>
  <si>
    <t>Dear Hiring Manager,
I am writing to express interest in the Project Management position at [Company]. My professional background aligns with the requirements stated in the job description, and I am submitting my application for your consideration.
My experience includes managed projects within [Location]. In previous roles, I leveraged project timelines, maintained documentation, and tracked progress against forecasted criteria. I have executed budgets and resources to ensure the outcome of assigned tasks.
My skill set includes the use of project management software, data analysis, and technical reporting. I possess experience in risk assessment and the specialised coordination of project phases. These skills allow for the optimisation of schedules and the innovation of project documentation.
I am available for an interview to discuss how my background meets the needs of [Company]. Please contact me via the information provided on my resume to arrange a time for further discussion. Thank you for your time and consideration of this application.
Regards,
[Your Name]</t>
  </si>
  <si>
    <t>Dear Hiring Manager,
I am writing to express interest in the Project Management position at [Company]. My professional background aligns with the requirements stated in the job description, and I am submitting my application for your consideration.
My experience includes management of projects within [Location]. In previous roles, I collaborate on project timelines, maintained documentation, and tracked progress against collective goals. I have managed budgets and resources to ensure the contribution of assigned tasks through a cooperative approach.
My skill set includes the use of project management software, data analysis, and technical reporting. I possess experience in risk assessment and assisting in the joint coordination of project phases. These skills allow for the mutual trust of schedules and the shared management of project documentation.
I am available for an interview to discuss how my background meets the needs of [Company]. Please contact me via the information provided on my resume to arrange a time for further discussion. Thank you for your time and consideration of this application.
Regards,
[Your Name]</t>
  </si>
  <si>
    <t>I am writing to express interest in the Project Management position at [Company]. My professional background aligns with the requirements stated in the job description, and I am submitting my application for your consideration.
My experience includes management of projects within [Location]. In previous roles, I monitored project timelines, maintained documentation, and tracked progress against established criteria. I have managed budgets and resources to ensure the completion of assigned tasks.
My skill set includes the use of project management software, data analysis, and technical reporting. I possess experience in risk assessment and the coordination of project phases. These skills allow for the maintenance of schedules and the management of project documentation.
I am available for an interview to discuss how my background meets the needs of [Company]. Please contact me via the information provided on my resume to arrange a time for further discussion. Thank you for your time and consideration of this application.</t>
  </si>
  <si>
    <t>I am writing to submit my application for the Project Manager position at [Company] in [Location]. This letter serves as a formal expression of interest in the vacancy currently open within your organization.
My professional background includes five years of experience in project coordination and resource management. During this time, I managed project lifecycles from initiation to closure. My responsibilities included budget tracking, schedule monitoring, and the preparation of progress reports for stakeholders.
My technical proficiency includes the use of project management software for task tracking and data analysis. I maintain documentation according to established protocols and monitor project milestones to ensure they remain within the defined parameters. I am experienced in the application of standard methodologies to organize project workflows and maintain records.
I am available for an interview to discuss how my qualifications align with the requirements of this role. Please contact me at your convenience to arrange a meeting. Thank you for your time and consideration of this application.</t>
  </si>
  <si>
    <t>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managed project lifecycles, performed budget tracking, and maintained documentation for various initiatives. My responsibilities involved coordinating project activities and ensuring alignment with established project parameters.
My technical proficiency includes the application of standard project management methodologies and software tools. I possess experience in resource allocation, progress monitoring, and reporting. I am able to apply these methods to organize workflows and maintain project schedules according to defined requirements.
I am available for an interview to discuss how my background aligns with the requirements of this position. Thank you for your time and consideration of my application. I look forward to hearing from you regarding the next steps in the hiring process.</t>
  </si>
  <si>
    <t>I am writing to express interest in the Project Management position at [Company] in [Location]. This letter serves as a formal application for the role as advertised.
My professional background includes experience in the administration of projects and programs. I have managed timelines and resource allocations within [Company] and other organizational settings. My responsibilities have involved the monitoring of project phases and the reporting of status updates to stakeholders.
My technical experience includes the application of project management methodologies to organize tasks and maintain documentation. I possess experience in the use of standard software tools for the tracking of project metrics. I maintain records of project progress and verify that outputs align with established project requirements.
I am available for an interview to discuss how my background aligns with the requirements of this role. Please contact me via the information provided in my resume to arrange a meeting.</t>
  </si>
  <si>
    <t>I am writing to express interest in the Project Management position at [Company] located in [Location]. This letter serves as a formal application for the vacancy as advertised.
My professional background includes ten years of experience in project and programme management. During this period, I maintained responsibility for the coordination of resources, the tracking of schedules, and the management of project documentation. My previous roles required the completion of projects within defined parameters and the reporting of status updates to stakeholders.
My technical competencies include the application of standard project management methodologies, the creation of project plans, and the management of budgets. I possess proficiency in the use of project management software for task tracking and data analysis. These skills allow for the maintenance of project records and the monitoring of progress against established timelines.
I am available for an interview to discuss how my experience aligns with the requirements of this position. Thank you for your time and consideration of this application.</t>
  </si>
  <si>
    <t>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managed various assignments from initiation to completion. My responsibilities included resource allocation, schedule maintenance, and status reporting within [Company].
My technical abilities include the use of industry-standard software for documentation and tracking. I am proficient in establishing timelines, monitoring budget usage, and managing project artifacts. I maintain project logs and prepare documentation for review by relevant stakeholders.
I am available for an interview to discuss my qualifications for this position. Please contact me at your convenience to arrange a meeting. Thank you for your time and consideration of this application.</t>
  </si>
  <si>
    <t>I am writing to express interest in the Project Management position at [Company] in [Location]. This letter serves as a formal application for the role as advertised.
My professional background includes experience in managing project lifecycles within [Company]. I have held responsibility for the coordination of resources, the monitoring of timelines, and the reporting of project status to stakeholders. My work has focused on the execution of tasks according to established project plans.
I possess proficiency in standard project management methodologies and software tools. My tasks involve the creation of project schedules, the management of budgets, and the documentation of project requirements. I am experienced in the use of data for the tracking of project progress and the identification of variances from the project plan.
I am available for an interview to discuss my qualifications for this position. Please contact me via the provided details to arrange a meeting at your convenience.</t>
  </si>
  <si>
    <t>I am writing to submit my application for the Project Management position at [Company] in [Location]. This letter serves as a formal expression of interest in the vacancy currently open within your organization.
My professional background includes the management of projects within [Company] and [Company]. During these periods, I maintained documentation, tracked project timelines, and coordinated the distribution of resources. My work involved the observation of project life cycles from initiation to completion.
I possess proficiency in standard project management software and internal reporting tools. My routine tasks included the creation of status reports, the monitoring of budgets, and the management of schedules. I maintained records of project progress and communicated updates to stakeholders as required.
I am available for an interview to discuss my qualifications for this role. I look forward to receiving your response regarding the next steps in the recruitment process.</t>
  </si>
  <si>
    <t>I am writing to submit my application for the Project Manager position at [Company] in [Location]. This letter serves as a formal expression of interest in the role as advertised.
My professional background includes experience in managing project lifecycles within corporate environments. I have occupied positions where I monitored project progress, maintained documentation, and coordinated tasks according to established timelines. These roles required the use of standard project management methodologies to ensure that tasks were completed as scheduled.
My technical proficiency includes the use of project management software, budget tracking, and resource allocation. I have experience in risk assessment, status reporting, and the maintenance of project logs. I am capable of organizing project documentation and communicating status updates to stakeholders through formal channels.
I am available for an interview to discuss my qualifications further. Please contact me via the information provided in my resume to arrange a meeting. Thank you for your time and consideration of this application.</t>
  </si>
  <si>
    <t>I am writing to express my interest in the Project Management position at [Company] in [Location]. This letter serves as my formal application for the vacancy as advertised.
My professional background includes experience managing projects and programmes within corporate environments. I have managed timelines, budgets, and operational requirements across multiple phases of project lifecycles. My history involves working with structured methodologies to maintain progress on assigned tasks.
My skill set includes the use of project management software, data reporting, and resource allocation. I am experienced in identifying project requirements, tracking milestones, and communicating status updates to stakeholders. I maintain documentation and perform analysis to track project status against initial parameters.
I am available for an interview to discuss how my experience aligns with the requirements of this position. Thank you for your time and consideration of my application.</t>
  </si>
  <si>
    <t>I am writing to submit my application for the Project Management position at [Company] in [Location]. This letter serves as a formal expression of interest in the role as described in the job listing.
My professional background includes experience in managing projects and programmes across various sectors. Previous assignments involved the coordination of resources, the tracking of timelines, and the management of project budgets. I have performed these tasks in alignment with stated organizational requirements and operational standards.
My core competencies include the creation of project schedules, the preparation of status reports, and the management of project documentation. I am proficient in the use of standard project management software and possess technical knowledge of methodologies used to monitor progress. These skills allow me to maintain order and clarity within project environments.
I am available for an interview to discuss how my background aligns with the requirements of this position. Thank you for your consideration of this application. I look forward to receiving your response.</t>
  </si>
  <si>
    <t>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have managed multiple projects from initiation to completion. I have monitored project lifecycles and coordinated the allocation of resources. My work has involved the maintenance of project schedules and the tracking of internal metrics.
I possess technical competency in project management software, budget administration, and quality assurance processes. My technical skills include the use of industry-standard tools to organize project documentation and track status updates. I maintain logs of project progress and prepare reports for stakeholders based on the data collected.
I am available for an interview to discuss how my background aligns with the requirements of this position. Please contact me at your convenience to arrange a meeting. Thank you for your time and consideration of this application.</t>
  </si>
  <si>
    <t>I am writing to express interest in the Project Management position at [Company] in [Location]. This application serves as a formal request for consideration for the role.
My professional history includes five years of experience in project coordination and program oversight. During this period, I managed schedules, monitored budgets, and tracked task completion across multiple departments. I maintained documentation and provided status reports to stakeholders regarding project progression.
My technical proficiency includes the application of project management software for resource allocation and timeline tracking. I possess experience in risk identification and the adjustment of workflows to maintain adherence to established project constraints. I am capable of organizing documentation and facilitating meetings to ensure information exchange remains consistent.
I am available for an interview to discuss the requirements of the position. Please contact me at your convenience to arrange a meeting.</t>
  </si>
  <si>
    <t>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environments. I have managed project lifecycles, monitored budgets, and tracked timelines. My work involved the coordination of resources and the assessment of progress against established plans.
I possess technical competency in project management software and standard reporting methodologies. My tasks have included the documentation of project status, the management of risk logs, and the communication of updates to stakeholders. I am familiar with standard project management frameworks and the application of these methodologies to daily operations.
I am available for an interview to discuss this application. Please contact me via the provided details to arrange a meeting at your convenience.</t>
  </si>
  <si>
    <t>I am writing to express my interest in the Project Management position at [Company] in [Location]. This letter serves as my formal application for the vacancy as advertised.
My professional background includes experience managing projects within [Company] and [Company]. During these periods, I managed project lifecycles, monitored budget allocations, and tracked progress against established timelines. These positions required the maintenance of documentation and the coordination of project components.
I possess experience in the application of project management methodologies, including the use of scheduling software and resource tracking tools. My duties have included the generation of status reports, the identification of procedural variances, and the maintenance of project records. I am proficient in the use of standard office software and technical tools for data management.
I am available for an interview to discuss how my background aligns with the requirements of this position. Please contact me via the information provided on my resume to arrange a meeting.</t>
  </si>
  <si>
    <t>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and other organizations. During these periods, I was responsible for the status of project timelines, the allocation of resources, and the documentation of internal processes. My work focused on the execution of tasks in accordance with established parameters.
I possess experience in the application of project management methodologies. My technical skills include the use of project management software, the creation of progress reports, and the monitoring of budget expenditures. I maintain records of project milestones and communicate status updates to stakeholders through standard reporting channels.
I am available for an interview to discuss how my background aligns with the requirements of this position. Please contact me at your convenience to arrange a meeting. Thank you for your review of these materials.</t>
  </si>
  <si>
    <t>I am writing to submit my application for the Project Manager position at [Company] in [Location]. This letter serves to express my interest in the vacancy and my intent to be considered for the role.
My professional background includes experience in the administration of projects within [Company]. During my time in these roles, I maintained documentation, tracked project timelines, and managed resources according to established project requirements. I performed these functions within [Location] for a period of five years.
My proficiency includes the use of project management software, the application of standard methodologies, and the preparation of status reports. I am capable of managing project schedules, monitoring budget allocations, and communicating updates to stakeholders. I possess the technical skills required to perform these tasks.
I am available for an interview to discuss my qualifications further. Please contact me at your convenience to arrange a meeting. Thank you for your time and for reviewing my application materials.</t>
  </si>
  <si>
    <t>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maintained oversight of project life cycles, resource allocation, and progress reporting. These roles involved the coordination of tasks to meet defined requirements.
My technical proficiency includes the application of standard methodologies to organize workflows and maintain documentation. I possess experience in budget monitoring, risk assessment, and the maintenance of project schedules. These practices are used to ensure that tasks remain within established parameters and timelines.
I am available to discuss this application further. Please contact me via the information provided in my resume to arrange a meeting. Thank you for your consideration of this application.</t>
  </si>
  <si>
    <t>I am writing to submit my application for the Project Manager position at [Company]. This letter serves to express my interest in the role as advertised.
My professional background includes experience in the administration and oversight of operational tasks. In previous positions at [Company] located in [Location], I performed duties related to scheduling, resource allocation, and progress monitoring. These roles required the maintenance of project documentation and the coordination of internal processes.
My technical experience includes the application of standard methodologies for project lifecycles. I possess proficiency in the use of project management software and data analysis tools to track progress against established metrics. My tasks have included the preparation of status reports, the identification of procedural gaps, and the management of project budgets.
I am available for an interview to discuss my qualifications for this position. Please contact me at your convenience to arrange a meeting.</t>
  </si>
  <si>
    <t>I am writing to submit my application for the Project Manager position at [Company] in [Location]. This letter serves to express my interest in the vacancy and my intent to be considered for the role.
My professional background includes ten years of experience in project and programme management. During this time, I managed various projects from initiation to completion. These projects involved resource allocation, budget management, and the coordination of project phases within established timeframes.
My technical proficiency includes the application of standard project management methodologies and software tools. I possess experience in risk assessment, schedule maintenance, and the production of status reports. I maintain records and data to ensure project documentation remains accurate and accessible.
I am available for an interview to discuss how my professional background meets the requirements of the position. Please contact me via the provided email or phone number to arrange a time for further discussion regarding this application.</t>
  </si>
  <si>
    <t>I am writing to submit my application for the Project Management position at [Company] located in [Location]. This letter serves as a formal expression of interest in the vacancy.
My professional background includes the management of projects and programmes across various sectors. I have held positions where I maintained project documentation, monitored schedules, and verified that project milestones met defined requirements. My experience involves the coordination of resources and the assessment of project status.
My skill set includes the use of project management software, the tracking of budgets, and the production of status reports. I possess experience in risk identification and the application of standard methodologies to maintain project progression. I am capable of managing timelines and ensuring that project data remains accurate.
I am available for an interview to discuss this application. Please contact me via the information provided in my resume to arrange a meeting. Thank you for your consideration of these qualifications.</t>
  </si>
  <si>
    <t>I am writing to express interest in the Project Management position at [Company] located in [Location]. This letter serves as a formal application for the role as advertised.
My professional background includes ten years of experience in project coordination and program oversight. During this period, I have managed project lifecycles, monitored budgets, and tracked timelines for multiple organizational initiatives. My work involves the administration of resources and the maintenance of project documentation.
My technical skills include the use of project management software, data analysis, and the preparation of progress reports. I possess experience in risk assessment, stakeholder communication, and the monitoring of project milestones. These activities are performed to ensure project activities remain aligned with established parameters.
I am available for an interview to discuss this application further. Please contact me via the information provided in my resume to arrange a meeting.</t>
  </si>
  <si>
    <t>I am writing to express interest in the Project Management position at [Company] in [Location]. This letter serves as a formal application for the vacancy as advertised.
My professional background includes ten years of experience in project and programme management. During this period, I managed project life cycles, allocated resources, and maintained documentation for various initiatives. These roles required the coordination of schedules and the management of project budgets.
My technical competencies include the use of project management software, the creation of status reports, and the maintenance of project logs. I possess experience in risk identification and the execution of task plans. I maintain project files and ensure that processes remain aligned with established project requirements.
I am available for an interview to discuss how my qualifications align with the needs of [Company]. Please contact me via the information provided in my resume to arrange a meeting.</t>
  </si>
  <si>
    <t>I am writing to submit my application for the Project Manager position at [Company] in [Location]. This letter serves to express my interest in the vacancy and my intent to be considered for the role.
My professional background includes experience managing projects and programmes within [Company]. During my tenure, I managed project schedules, monitored budgets, and addressed operational requirements. I have maintained documentation and tracked project status through various phases of completion.
My technical experience includes the application of standard project management methodologies. I have performed tasks related to resource allocation, risk identification, and progress reporting. I have used standard software tools to track milestones and organize project information.
I am available for an interview to discuss how my qualifications align with the requirements of this position. Thank you for your time and consideration of my application.</t>
  </si>
  <si>
    <t>I am writing to express interest in the Project Management position at [Company] in [Location]. This letter serves as a formal application for the vacancy as advertised.
My background includes tenure as a project manager at [Company]. During this period, I managed project life cycles, tracked milestones, and ensured adherence to established schedules. I maintained documentation and facilitated communication between internal departments to ensure project requirements were met according to the project charter.
My technical proficiency includes the use of project management software for resource allocation and progress tracking. I possess experience in budget monitoring, risk assessment, and the application of standard methodologies to project tasks. I maintain focus on process accuracy and the completion of assigned project deliverables within stated constraints.
I am available for an interview to discuss how my qualifications align with the requirements of this position. Thank you for your time and consideration of this application.</t>
  </si>
  <si>
    <t>I am writing to express interest in the Project Management position at [Company] in [Location]. This letter serves as a formal application for the role as advertised.
My professional background includes ten years of experience in project administration and oversight. During this period, I managed project life cycles, documented status updates, and tracked resource allocation. I have performed these duties within several organizations, ensuring that project documentation remained accurate and accessible.
My technical skills include the use of industry-standard software for scheduling and budget tracking. I possess proficiency in risk assessment, quality assurance processes, and the maintenance of project timelines. My work involves the frequent review of project data to ensure alignment with defined requirements.
I am available for an interview to discuss how my experience aligns with the requirements of this position. Please contact me via the provided email address or phone number to arrange a meeting.</t>
  </si>
  <si>
    <t>I am writing to express my interest in the Project Management position at [Company] in [Location]. This letter serves as a formal application for the vacancy as advertised.
My professional background includes experience in the administration of projects and programs across various sectors. I have functioned in roles involving the coordination of tasks, the management of schedules, and the oversight of project life cycles. My work has involved the maintenance of project documentation and the monitoring of project progress.
My technical proficiency includes the use of standard project management software and methodologies. I possess experience in budget tracking, risk identification, and resource allocation. I am familiar with the processes required to maintain project timelines and to report on status updates to relevant stakeholders.
I am available for an interview to discuss this application further. Thank you for your time and consideration of my background for this position.</t>
  </si>
  <si>
    <t>I am writing to submit my application for the Project Management position at [Company] in [Location]. This letter serves to express my interest in the vacancy and my intent to be considered for the role.
My professional background includes ten years of experience in project coordination and program oversight. During this time, I managed various operational tasks and maintained schedules for multiple workstreams. I have held positions at [Company] where I oversaw the progress of assigned projects.
My technical abilities include the use of industry-standard software for project tracking and resource allocation. I am proficient in the creation of progress reports, the maintenance of project documentation, and the coordination of internal workflows. I possess experience in budget monitoring and the identification of project status updates.
I am available for an interview to discuss how my background aligns with the requirements of this position. Thank you for your time and consideration of this application.</t>
  </si>
  <si>
    <t>I am writing to apply for the Procurement position at [Company] in [Location]. This letter serves as a formal expression of interest in the role as advertised.
My professional background includes five years of experience in supply chain operations. During this period, I managed vendor contracts, processed purchase orders, and monitored inventory levels. I maintained records of transactions and verified that all received items met the stated requirements.
My technical skills include the use of enterprise resource planning software and data entry systems. I have experience in analyzing price fluctuations and comparing vendor quotes based on standard criteria. I am proficient in the use of spreadsheets for tracking procurement cycles and reporting on material availability.
I am available for an interview to discuss my qualifications for this position. Please contact me at the phone number or email address provided in my application documents. Thank you for the time taken to review these materials.</t>
  </si>
  <si>
    <t>I am writing to apply for the Procurement position at [Company] in [Location]. My interest in this role aligns with the requirements listed in the job description.
My professional background includes five years of experience in supply chain operations. During this period, I performed tasks related to vendor management, contract administration, and inventory oversight. These duties involved the processing of purchase orders and the assessment of material availability.
My technical skills include the use of enterprise resource planning systems and data analysis software. I maintain records of procurement activities and prepare reports regarding cost variances. I am familiar with procurement cycles and the maintenance of vendor databases.
Please contact me at your convenience to discuss how my experience relates to the needs of [Company]. I am available for an interview at a time that suits your schedule.</t>
  </si>
  <si>
    <t>I am writing to express my interest in the Procurement position at [Company] in [Location]. Please accept this letter and the attached resume as a formal application for the role.
My background includes professional experience in supply chain operations. I have performed tasks related to vendor management, procurement processes, and inventory oversight. In previous positions, I managed purchase orders, processed invoices, and maintained records within established systems.
My skill set includes the use of enterprise resource planning software and data entry applications. I am experienced in identifying supply requirements and processing documentation according to standard procedures. I maintain accuracy in inventory reporting and communicate with vendors to confirm order status and delivery dates.
I am available for an interview to discuss how my background matches the requirements of this position. Thank you for your time and consideration of this application.</t>
  </si>
  <si>
    <t>I am writing to submit my application for the Procurement position at [Company] located in [Location]. My background includes professional experience in purchasing and supply chain operations.
My previous work history involves the management of vendor contracts and the procurement of materials. I have performed tasks related to order processing, inventory tracking, and the review of supplier performance metrics. These responsibilities were conducted within standard operational frameworks.
My technical skills include the use of enterprise resource planning software and data entry systems. I possess experience in the evaluation of price quotes and the maintenance of procurement documentation. I am able to manage routine administrative tasks and maintain records regarding supply chain activities.
I am available for an interview to discuss my qualifications for this position. Please contact me via the information provided on my resume.</t>
  </si>
  <si>
    <t>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monitored inventory levels. These tasks required the maintenance of accurate records and the consistent observation of operational procedures.
My core competencies include data analysis, procurement software operation, and contract administration. I possess experience in vendor communication, the audit of invoices, and the preparation of status reports. I maintain a focus on the technical requirements of procurement workflows and the documentation of supply chain activities.
I am available for an interview to discuss how my experience aligns with the requirements of this position. Thank you for your time and consideration of this application.</t>
  </si>
  <si>
    <t>I am writing to apply for the Procurement position at [Company] in [Location]. This letter serves as a formal expression of interest in the vacancy.
My professional background includes five years of experience in supply chain operations. During this period, I managed vendor contracts and monitored inventory levels. I maintained records of procurement activities and verified that all documentation aligned with internal requirements.
My technical skills include the use of enterprise resource planning software and data analysis tools. I possess experience in contract review and vendor performance assessment. I am familiar with procurement cycles, cost analysis, and inventory management procedures.
I have attached my resume for your review. I am available for an interview at your convenience to discuss the requirements of the position.</t>
  </si>
  <si>
    <t>I am writing to submit my application for the Procurement position at [Company] in [Location]. This letter serves as a formal expression of interest in the vacancy.
My background includes tenure in supply chain operations. I have performed tasks related to vendor assessment, contract administration, and inventory management. These duties involved the monitoring of procurement cycles and the maintenance of records for internal operations.
My technical proficiency includes the use of enterprise resource planning software and data analysis tools. I have processed purchase orders and monitored supplier performance metrics. I am familiar with procurement procedures and the management of vendor documentation.
I am available for an interview to discuss my qualifications for this position. Please contact me at your convenience to arrange a meeting. Thank you for your review of this application.</t>
  </si>
  <si>
    <t>I am writing to apply for the Procurement position at [Company] located in [Location]. This letter expresses my interest in the vacancy as advertised.
My professional background includes five years of experience in supply chain operations. During this period, I managed vendor contracts, processed purchase orders, and monitored inventory levels. I maintained records of transactions and participated in the procurement process for goods and materials.
My technical skills include data entry, use of enterprise resource planning software, and analysis of vendor pricing. I possess experience in drafting procurement documentation and maintaining supply databases. I am familiar with standard procurement procedures and the preparation of reports regarding vendor performance.
I am available for an interview to discuss this application. Please contact me via the information provided on my resume to arrange a meeting.</t>
  </si>
  <si>
    <t>I am writing to express my interest in the Procurement position at [Company] in [Location]. Please accept this letter as a formal application for the vacancy.
My professional history includes five years of experience within the supply chain sector. During this period, I managed vendor contracts and processed purchase orders. I maintained records of inventory levels and performed data entry tasks to document material flow.
My technical abilities include the use of enterprise resource planning software and spreadsheet programs for inventory tracking. I possess experience in vendor communication and the review of contract terms. My work involves the assessment of supplier pricing and the maintenance of procurement documentation.
I am available for an interview to discuss this position. Please contact me at your convenience to arrange a meeting. Thank you for your consideration of this application.</t>
  </si>
  <si>
    <t>I am writing to submit my application for the Procurement position at [Company] in [Location]. This letter serves as a formal expression of interest in the vacancy.
My background includes tenure in supply chain operations and vendor management. During this time, I performed tasks related to procurement cycles, inventory tracking, and contract administration. I maintained records and monitored vendor performance based on established metrics.
My technical skills include the use of enterprise resource planning software and data analysis tools. I possess experience in drafting purchase orders, managing logistics documentation, and auditing procurement data for accuracy. I am competent in the use of standard office software for report generation and record keeping.
I am available for an interview to discuss my qualifications for this position. Please contact me via the information provided on my resume to arrange a meeting.</t>
  </si>
  <si>
    <t>I am writing to submit my application for the Procurement position at [Company] in [Location]. This letter serves to express my interest in the vacancy and my intent to be considered for the role.
My professional background includes five years of experience in supply chain operations. During this period, I managed vendor accounts, processed purchase orders, and monitored inventory levels. I maintained records of transactions and verified that items arrived according to the stated agreements.
My technical skills include the use of enterprise resource planning software and data entry systems. I have experience with contract review, price analysis, and the preparation of procurement documentation. These tasks involve the use of standard office tools to track shipments and maintain vendor information.
I am available for an interview to discuss this role further. Please contact me via the information provided on my resume to arrange a meeting. Thank you for your time regarding this application.</t>
  </si>
  <si>
    <t>I am writing to apply for the Procurement position at [Company] located in [Location]. This application is based on the requirements listed in the job advertisement.
My professional background includes five years of experience in supply chain operations. During this period, I managed vendor contracts, processed purchase orders, and maintained inventory records. I performed inventory audits and verified documentation against internal records.
My technical skills include the use of enterprise resource planning software and data entry systems. I have experience in analyzing price variances and auditing supply contracts for accuracy. I am familiar with procurement procedures and the documentation of vendor performance metrics.
I am available for an interview to discuss my qualifications for this position. Please contact me via the information provided on my resume.</t>
  </si>
  <si>
    <t>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maintained inventory records. I performed these duties within established organizational frameworks to ensure the continuity of material acquisition.
My technical proficiency includes the use of enterprise resource planning software and data analysis tools. I possess experience in contract review, price negotiation, and the assessment of vendor performance metrics. These activities are performed to maintain the flow of goods and services according to standard operational requirements.
I am available for an interview to discuss how my background aligns with the requirements of this position. Please contact me at your convenience to arrange a meeting. Thank you for your time and consideration of this application.</t>
  </si>
  <si>
    <t>I am writing to apply for the Procurement position at [Company] located in [Location]. This letter serves to express my interest in the vacancy as advertised.
My professional background includes five years of experience in supply chain operations. During this period, I managed vendor contracts, processed purchase orders, and monitored inventory levels. These activities were conducted to maintain standard operating procedures within the organization.
My technical skills include the use of enterprise resource planning software to track procurement cycles. I possess experience in data entry, vendor communication, and the analysis of material costs. These tasks are performed to provide accurate documentation and maintain accurate records of supply chain activities.
I am available to discuss my qualifications for this role. Please contact me via the information provided in my resume to arrange an interview.</t>
  </si>
  <si>
    <t>I am writing to express my interest in the Procurement position at [Company] in [Location]. Please accept this letter and the attached resume as a formal application for the vacancy.
My professional background includes five years of experience in supply chain operations. During this period, I managed vendor contracts, processed purchase orders, and maintained inventory records. I performed analysis on supplier performance data and verified that all procurement activities remained within established budgetary parameters.
My technical skills include the use of enterprise resource planning software to track materials and manage vendor lists. I possess experience in contract review and the assessment of pricing structures. I am familiar with the processes required to maintain procurement logs and prepare reports on material availability.
I am available for an interview to discuss how my experience aligns with the requirements of this role. Thank you for your time in reviewing this application.</t>
  </si>
  <si>
    <t>I am writing to submit my application for the Procurement role at [Company] in [Location]. My interest in this position is based on the stated requirements for the management of supply chain operations.
My professional background includes five years of experience in procurement and vendor management. During this period, I managed procurement cycles, processed purchase orders, and maintained records of vendor performance. I have performed tasks related to contract administration and inventory control within various operational settings.
My technical skills include the use of enterprise resource planning software and data analysis programs. I maintain records for procurement activities and monitor supplier status. I possess experience in drafting procurement documentation and reconciling financial reports.
I am available for an interview to discuss my qualifications for this position. Please contact me via the information provided on my resume to arrange a meeting.</t>
  </si>
  <si>
    <t>I am writing to apply for the Procurement position at [Company] located in [Location]. This letter serves as a formal expression of interest in the vacancy.
My background includes work in supply chain operations. I have performed tasks related to vendor management, contract administration, and inventory oversight. My professional history involves the maintenance of procurement records and the processing of purchase orders.
The skills I possess include data analysis, the use of enterprise resource planning software, and the management of vendor databases. I am capable of identifying price variances and executing standard procurement procedures. These technical skills are applied to the daily functions required for supply chain activities.
I am available for an interview to discuss my qualifications for this position. Please contact me via the information provided in my application file. Thank you for your time regarding this matter.</t>
  </si>
  <si>
    <t>I am writing to apply for the Procurement position at [Company] in [Location]. My interest in this opening is based on the requirements listed in the job description.
My professional background includes five years of experience in supply chain operations. During this time, I managed vendor relationships and handled the procurement of raw materials. I also processed purchase orders and tracked the movement of inventory within [Company] systems.
I possess experience in data analysis, contract review, and inventory management. My daily tasks involve the use of enterprise resource planning software to monitor stock levels and verify vendor invoices. I maintain records of procurement activities to ensure that all documentation is accurate.
I am available for an interview to discuss how my background aligns with the needs of [Company]. Please contact me via phone or email to arrange a meeting at your convenience.</t>
  </si>
  <si>
    <t>I am writing to apply for the Procurement position at [Company] in [Location]. My interest in this role is based on the job description provided.
My professional background includes five years of experience in supply chain operations. During this period, I managed vendor contracts, processed purchase orders, and maintained inventory records. I performed tasks related to procurement cycles and logistics.
My technical skills include the use of enterprise resource planning software and data entry systems. I have experience with vendor evaluation, price negotiation, and the analysis of supply chain data. I am familiar with procurement documentation and standard office software applications.
I am available for an interview to discuss my qualifications for this position. Please contact me at your convenience.</t>
  </si>
  <si>
    <t>I am writing to submit my application for the Procurement position at [Company] in [Location]. This letter serves to indicate my interest in the vacancy currently open within your organization.
My professional background includes five years of experience in supply chain operations. During this period, I managed vendor contracts, processed purchase orders, and monitored inventory levels. I maintained records of procurement activities and communicated with suppliers to verify order status and shipping timelines.
My technical skills include the use of enterprise resource planning software to track materials. I possess experience in data entry, invoice reconciliation, and document filing. I am familiar with procurement procedures and the monitoring of vendor performance metrics to ensure adherence to established agreements.
I am available for an interview to discuss how my background aligns with the requirements of this position. Thank you for your time and consideration of my application.</t>
  </si>
  <si>
    <t>I am writing to submit my application for the Procurement position at [Company] in [Location]. This letter serves as a formal expression of interest in the vacancy.
My professional background includes five years of experience in supply chain operations. During this period, I managed vendor contracts, processed purchase orders, and monitored inventory levels. I maintained records of transactions and verified that all documentation aligned with internal procurement policies.
My technical proficiency includes the use of enterprise resource planning software to track vendor performance. I possess experience in data entry, cost analysis, and the preparation of reports regarding material availability. I am familiar with procurement procedures and the maintenance of supply schedules.
I am available for an interview to discuss this role. Please contact me via the information provided in my resume. Thank you for your time and consideration of this application.</t>
  </si>
  <si>
    <t>I am writing to express my interest in the Procurement position at [Company] located in [Location]. My background includes work within supply chain operations and sourcing functions.
My professional history involves managing vendor contracts and processing purchase orders. I have performed tasks related to inventory tracking, supplier correspondence, and data entry within procurement systems. These responsibilities required maintaining documentation and verifying transaction accuracy.
My technical skills include the use of enterprise resource planning software and spreadsheet applications for data organization. I possess experience in monitoring supply levels, evaluating price quotes, and preparing reports regarding vendor performance. I am proficient in the use of standard office tools to perform daily administrative tasks.
Please accept this letter as a formal application for the position. I am available for an interview at your convenience to discuss the requirements of the role. I appreciate your time and consideration of my qualifications.</t>
  </si>
  <si>
    <t>I am writing to apply for the Procurement position at [Company] located in [Location]. This letter serves to express interest in the vacancy as advertised.
My background includes five years of experience in supply chain operations. During this period, I maintained inventory records, processed purchase orders, and managed vendor correspondence. I performed tasks related to contract administration and logistics coordination within [Company].
My technical abilities include the use of enterprise resource planning software and data entry systems. I have experience in analyzing price trends, verifying invoices, and monitoring shipment schedules. I possess experience in vendor evaluation and the maintenance of procurement documentation.
I am available for an interview at your convenience to discuss the requirements of the role. Please contact me via the information provided in my resume. Thank you for your time regarding this application.</t>
  </si>
  <si>
    <t>I am writing to submit my application for the Procurement position at [Company] located in [Location]. My interest in this role aligns with my background in supply chain functions.
My professional history includes five years of experience within procurement departments. In these roles, I managed vendor contracts, processed purchase orders, and maintained inventory records. I performed audits of supplier performance and verified that procurement activities adhered to internal policies.
My technical skills include the use of enterprise resource planning software and data entry systems. I have experience in preparing financial reports, tracking shipments, and communicating with vendors to confirm delivery dates. I am familiar with procurement cycles and the documentation required for these processes.
I am available for an interview at your convenience to discuss how my background matches the requirements of this role. Thank you for your time and consideration of this application.</t>
  </si>
  <si>
    <t>I am submitting my application for the Procurement position at [Company] located in [Location]. This letter expresses my interest in the vacancy as advertised.
My professional background includes five years of experience in supply chain operations. I have managed vendor contracts, processed purchase orders, and maintained inventory records. Previous responsibilities involved the assessment of supplier performance and the maintenance of procurement documentation.
My technical skills include the use of enterprise resource planning software and data analysis tools. I possess experience in the evaluation of pricing structures and the management of logistics workflows. I am competent in the maintenance of records and the processing of procurement requests according to established internal procedures.
I am available for an interview to discuss my qualifications for this position. Please contact me via the information provided on my resume to arrange a meeting. Thank you for your time regarding this application.</t>
  </si>
  <si>
    <t>I am writing to apply for the Procurement position at [Company] located in [Location]. This letter serves to express my interest in the vacancy and my intent to be considered for the position.
My professional background includes five years of experience in supply chain operations. During this time, I managed vendor contracts, processed purchase orders, and maintained inventory records. I performed audits of supplier performance and verified that procurement activities adhered to internal policies.
My skill set includes data entry, contract review, and inventory tracking. I have experience using enterprise resource planning software to monitor stock levels and process invoices. I am capable of organizing documentation and maintaining logs of procurement activities.
I have attached my resume for your review. Please inform me if additional information is required. I am available for an interview at your convenience.</t>
  </si>
  <si>
    <t>I am writing to express my interest in the Procurement position at [Company] located in [Location]. My background includes experience in sourcing and supply chain activities within various organizational structures.
My professional history involves managing vendor relations and processing purchase orders. I have been responsible for maintaining inventory records and verifying the accuracy of incoming shipments. These tasks were performed in accordance with established procurement procedures.
My technical skills include the use of enterprise resource planning software and spreadsheet applications for data entry. I have experience in auditing invoices and identifying discrepancies in procurement documentation. I am able to manage multiple administrative tasks and maintain records of vendor activity.
I am available to discuss my qualifications for this role. Please contact me to arrange an interview. Thank you for your time.</t>
  </si>
  <si>
    <t>I am writing to apply for the Procurement position at [Company] in [Location]. This letter expresses interest in the vacancy as advertised.
My background includes five years of experience in supply chain operations. Previous tasks involved managing vendor contracts, processing purchase orders, and maintaining inventory records. I have experience in auditing supplier performance and reconciling procurement data.
My professional skills include the use of enterprise resource planning systems and inventory management software. I possess experience in data entry, vendor communication, and the preparation of procurement reports. My work involves the assessment of supply chain metrics and the maintenance of procurement documentation.
Please contact me at your convenience to discuss this application. I am available for an interview at a time that aligns with your schedule. Thank you for your consideration of these materials.</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</si>
  <si>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client requests. I maintained records of transactions and provided information regarding products to potential customers.
My technical abilities include the use of customer relationship management software and standard office applications. I possess experience in cold outreach, lead qualification, and contract preparation. I am capable of organizing schedules and tracking metrics related to sales volume.
I am available for an interview to discuss this role. Please contact me via the information provided on my resume to arrange a meeting.</t>
  </si>
  <si>
    <t>I am writing to apply for the Sales and Business Development position at [Company] in [Location]. This letter serves to express my interest in the vacancy as advertised.
My background includes five years of experience in sales operations and client acquisition. In my previous position at [Company], I managed account portfolios and processed new contracts. My work involved identifying prospective clients and maintaining records of business transactions.
My professional skills include CRM data entry, cold outreach, and contract negotiation. I am capable of preparing reports, tracking sales metrics, and communicating with clients via email and telephone. I maintain organization in my daily tasks and adhere to standard business procedures.
I have attached my resume for your review. I am available for an interview at your convenience to discuss the requirements of this role. Thank you for your time and consideration of this application.</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</si>
  <si>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transactions within the [Industry] sector. I maintained records and reported on activity status to management.
My skill set includes cold calling, lead identification, and contract negotiation. I use CRM software to track interactions and organize client information. I am capable of presenting product information to potential customers and answering inquiries regarding pricing and terms.
I am available for an interview to discuss this role. Please contact me via the information provided on my resume to arrange a meeting.</t>
  </si>
  <si>
    <t>I am writing to express my interest in the Sales position at [Company] located in [Location]. This letter serves as my formal application for the role.
My professional background includes five years of experience in sales and business development. During this time, I managed client accounts and processed sales agreements. I maintained professional communication with existing clients and contacted potential prospects to provide information regarding services.
My technical skills include data entry, CRM software operation, and the preparation of business reports. I possess the ability to track communication logs and organize documentation. I am proficient in the use of office software and maintain accurate records of client interactions.
I am available for an interview to discuss this application. Please contact me via the information provided on my resume to arrange a meeting.</t>
  </si>
  <si>
    <t>I am writing to express my interest in the Sales position at [Company] located in [Location]. This letter serves as a formal application for the vacancy.
My professional background includes five years of experience in sales and business development. During this time, I managed client accounts, performed market research, and processed inquiries. I have held positions where I maintained records, communicated with prospects, and updated internal documentation.
My technical skills include the use of customer relationship management software and spreadsheet applications. I have experience with cold outreach, lead qualification, and the preparation of business proposals. I am capable of organizing schedules and tracking metrics related to sales activity.
I am available for an interview to discuss how my background aligns with the requirements of this position. Thank you for your time and consideration of this application.</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</si>
  <si>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transactions for clients. I maintained records of business interactions and handled communication regarding product availability.
My technical skills include the use of customer relationship management software and data entry systems. I possess experience in drafting professional correspondence and preparing reports. My work involves the organization of schedules and the maintenance of internal databases.
Please find my resume attached for your review. I am available for an interview at your convenience to discuss the requirements of the position. Thank you for your time and consideration.</t>
  </si>
  <si>
    <t>I am writing to express interest in the Sales position at [Company] located in [Location]. My background aligns with the requirements stated in the job description.
My professional history includes five years in sales and business development roles. During this period, I managed account portfolios and processed new client acquisitions. I maintained records of client interactions and performed outreach to prospective accounts.
My technical proficiencies include the use of customer relationship management software and data analysis tools. I possess experience in drafting proposals and preparing reports for internal review. I am capable of managing administrative tasks and coordinating schedules for meetings.
I am available for an interview to discuss this role. Please contact me via the email address or phone number provided on my resume. Thank you for your time and consideration.</t>
  </si>
  <si>
    <t>I am writing to express interest in the Sales position at [Company] located in [Location]. My background aligns with the requirements stated in the job description.
My professional history includes five years in sales and business development roles. During this period, I managed client accounts and maintained professional relationships with various contacts. I performed tasks related to market analysis and outreach to prospective clients.
My skill set includes the use of customer relationship management software and the preparation of business reports. I am capable of organizing schedules and processing information in a structured manner. I maintain standard office records and communicate information through written and verbal channels.
I am available for an interview to discuss how my qualifications meet the needs of [Company]. Thank you for your time and consideration of this application.</t>
  </si>
  <si>
    <t>I am writing to apply for the Sales and Business Development position at [Company]. My interest in this role is based on the professional requirements listed in the job description.
My background includes five years of experience in sales roles at [Company] in [Location]. During this period, I managed client accounts and conducted outreach activities. I processed customer inquiries and maintained records of professional interactions.
My skill set includes the use of customer relationship management software and the preparation of business documentation. I am able to conduct cold outreach and present product information to potential clients. I also possess experience in the maintenance of sales pipelines and the analysis of market data.
Please find my resume attached for your review. I am available for an interview at your convenience to discuss the details of this position. Thank you for your time.</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</si>
  <si>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transactions within the [Industry] sector. My responsibilities involved identifying potential clients and maintaining records of commercial interactions.
I possess proficiency in standard office software and customer relationship management systems. My primary functions include communicating product details to potential clients and preparing reports on sales activity. I maintain organized schedules and adhere to established procedures for client outreach.
I am available for an interview to discuss how my background aligns with the requirements of this role. Please contact me via the information provided in my resume to arrange a meeting.</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</si>
  <si>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client contracts. I maintained records of transactions and provided information regarding products to current and prospective clients.
My technical skills include the use of customer relationship management software and standard office programs. I am proficient in cold calling, lead qualification, and the preparation of sales reports. I maintain professional communication with clients through email and telephone correspondence.
I am available for an interview to discuss this role. Please contact me via the information provided on my resume. Thank you for your time and consideration of this application.</t>
  </si>
  <si>
    <t>I am writing to express interest in the Sales position at [Company] in [Location]. This letter serves as a formal application for the vacancy.
My background includes five years of experience in sales operations. During this period, I managed client accounts, processed contracts, and tracked market data. I am familiar with the standard procedures required for client acquisition and account maintenance.
My technical skills include proficiency in CRM software, data entry, and professional communication. I perform tasks such as generating reports, organizing schedules, and documenting client interactions. These activities are completed according to established office protocols.
I am available for an interview to discuss this role. Please contact me via the information provided on my resume to arrange a meeting time.</t>
  </si>
  <si>
    <t>I am writing to express interest in the Sales position at [Company] located in [Location]. My background aligns with the requirements stated in the job description.
My previous work history includes five years in sales and business development roles. During this period, I managed client accounts, identified potential new business, and maintained records of professional interactions. These responsibilities involved the consistent application of standard sales processes and the maintenance of professional relationships with contacts.
My skill set includes the ability to present information to potential clients, the use of CRM software for data entry, and the drafting of formal correspondence. I am capable of managing a calendar, preparing reports on sales activity, and addressing inquiries from interested parties. These tasks are performed through a structured approach to daily operations.
I am available for an interview to discuss how my qualifications meet the needs of [Company]. Please contact me at your convenience to arrange a meeting. Thank you for your time and attention to this application.</t>
  </si>
  <si>
    <t>I am writing to express my interest in the Sales position at [Company] in [Location]. Please accept this letter and the attached resume as formal application for the role.
My professional background includes five years of experience in sales and business development. In previous positions, I managed accounts, contacted potential clients, and maintained records of interactions. These roles required consistent communication with existing and prospective customers to convey product information.
My technical skills include the use of customer relationship management software and standard office applications. I am proficient in organizing schedules, conducting research on market segments, and drafting correspondence. These methods allow for the processing of inquiries and the management of sales pipelines.
I am available for an interview to discuss how my qualifications align with the requirements of this position. Thank you for your time and consideration of this application.</t>
  </si>
  <si>
    <t>I am writing to apply for the Sales and Business Development position at [Company] in [Location]. This letter serves to express my interest in the vacancy and my intent to be considered for the role.
My professional background includes five years of experience in sales operations. During this period, I managed accounts and processed customer inquiries. I performed outreach to potential clients and documented interactions within internal databases.
My technical skills include proficiency in customer relationship management software and spreadsheet applications. I possess experience in drafting correspondence and preparing data summaries. I am capable of maintaining records and executing standard sales procedures.
I am available for an interview to discuss my qualifications. Please contact me via the information provided on my resume to arrange a meeting. I look forward to your response regarding this application.</t>
  </si>
  <si>
    <t>I am writing to apply for the Sales and Business Development position at [Company] in [Location]. This letter serves as a formal expression of interest in the vacancy.
My professional background includes five years of experience in sales operations. During this period, I engaged in lead generation, client outreach, and account management. My primary functions involved identifying potential clients and managing the progression of sales cycles from initial contact to contract finalization.
I possess professional proficiency in CRM software, data analysis, and professional correspondence. My work involves the preparation of reports and the maintenance of client records. I maintain an organized approach to administrative tasks and prioritize the accuracy of sales documentation.
I am available for an interview to discuss how my background aligns with the requirements of this role. Please contact me via the information provided on my resume to arrange a time for further discussion.</t>
  </si>
  <si>
    <t>I am writing to express interest in the Sales position at [Company] located in [Location]. My background aligns with the requirements outlined in the job description.
In my previous roles, I managed accounts and engaged with prospective clients to discuss product offerings. I maintained records of interactions and processed transactions according to established procedures. My experience includes identifying potential clients and presenting information regarding services provided by the organization.
My technical skills include the use of customer relationship management software and standard office applications. I am proficient in drafting professional correspondence and preparing reports based on provided data. I possess the ability to organize schedules and manage administrative tasks associated with the sales process.
I am available for an interview to discuss how my qualifications align with the needs of [Company]. Please contact me via the information provided on my resume to arrange a time for further discussion.</t>
  </si>
  <si>
    <t>I am writing to submit my application for the Sales and Business Development position at [Company] in [Location].
My professional background includes five years of experience in sales operations. During this period, I managed accounts, conducted outreach to prospective clients, and handled administrative requirements related to contract processing. I maintained records of client interactions and provided regular updates to management regarding the status of pending transactions.
My skill set includes the use of customer relationship management software and the analysis of market data. I am experienced in identifying potential leads and preparing presentations for meetings. I am also familiar with standard reporting procedures and the maintenance of internal documentation.
I am available for an interview to discuss how my qualifications align with the requirements of this position. Thank you for your consideration of this application.</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</si>
  <si>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and processed client requests. My primary duties involved maintaining records, contacting potential clients, and presenting information regarding products.
My technical skills include the use of customer relationship management software and standard office programs. I am practiced in cold calling, lead qualification, and the preparation of contracts. I maintain a focus on data entry and the clear communication of product specifications to potential purchasers.
I am available for an interview to discuss how my background aligns with the requirements of this role. Please contact me via the information provided on my resume to arrange a meeting.</t>
  </si>
  <si>
    <t>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engaged in outreach, managed accounts, and processed transactions. My primary responsibilities involved identifying prospective clients and maintaining records of communication.
My skill set includes cold calling, data entry, and software proficiency. I possess the ability to use customer relationship management tools to track progress. I am capable of presenting information regarding products to potential buyers and answering inquiries about features.
I am available for an interview to discuss this role. Please contact me via the information provided on my resume. I look forward to your response.</t>
  </si>
  <si>
    <t>I am writing to apply for the Sales and Business Development position at [Company] in [Location]. This letter serves as a formal expression of interest in the vacancy.
My professional background includes five years of experience in sales operations. In previous roles, I managed client accounts, conducted outreach, and processed service agreements. My daily tasks involved maintaining records and providing information to prospective clients.
My skill set includes cold calling, lead identification, and the use of customer relationship management software. I have experience with contract negotiation and the preparation of price quotations. I am proficient in standard office software and data entry procedures.
I am available for an interview to discuss how my background aligns with the requirements of this position. Please contact me at your convenience to arrange a meeting.</t>
  </si>
  <si>
    <t>I am writing to submit my application for the Sales and Business Development position at [Company] located in [Location]. My background aligns with the requirements stated in the job description.
My professional history includes five years of experience in sales operations. During this period, I managed client accounts and processed business transactions. I held responsibility for maintaining records, communicating with prospects, and facilitating the progress of sales cycles.
I possess proficiency in customer relationship management software and data entry. My technical skills include the use of office productivity tools and the analysis of sales metrics. I maintain accurate documentation and communicate information to internal departments.
I am available for an interview to discuss how my qualifications align with the needs of [Company]. Please contact me at your convenience to arrange a meeting.</t>
  </si>
  <si>
    <t>I am writing to express interest in the Sales / Business Development position at [Company] in [Location]. This letter serves as my formal application for the role.
My professional background includes five years of experience in sales operations and client relations. During this time, I managed account portfolios and processed new client acquisitions. I have maintained records of customer interactions and processed contracts within the parameters of established organizational procedures.
My core competencies include data entry, cold outreach, and the management of customer relationship databases. I am proficient in the use of standard office software to track activity and generate reports. These tasks are performed according to the protocols set by the organization to ensure accuracy in all records.
I am available for an interview at your convenience to discuss how my background aligns with the requirements of this position. Thank you for your consideration of this application.</t>
  </si>
  <si>
    <t>I am writing to express interest in the Sales position at [Company] located in [Location]. My application is submitted for your consideration regarding this opening.
My professional history includes roles in sales and business development. In these positions, I managed accounts and processed transactions. I maintained records of client interactions and provided information about products. These responsibilities required consistent adherence to established operational procedures.
My experience includes prospecting for new contacts and presenting information to potential clients. I am familiar with the use of standard software for tracking activity and maintaining contact databases. I communicate facts regarding product features and pricing structures to facilitate business exchanges.
I am available for an interview to discuss how my background aligns with the requirements of [Company]. Please contact me at your convenience to arrange a time. Thank you for your time and attention to this application.</t>
  </si>
  <si>
    <t>I am writing to apply for the Sales and Business Development position at [Company] in [Location]. This letter expresses my interest in the vacancy as advertised.
My professional background includes five years of experience in sales operations. During this period, I managed client accounts and processed business transactions. I held responsibility for maintaining records and communicating with prospective entities regarding service offerings.
My technical skills include the use of customer relationship management software and data entry systems. I possess the ability to conduct cold outreach and present information to potential clients. I maintain standard office productivity tools to track progress and report metrics to management.
I am available to discuss my qualifications for this position at your convenience. Please contact me via the information provided on my resume to arrange an interview.</t>
  </si>
  <si>
    <t>I am writing to apply for the Sales and Business Development position at [Company] in [Location]. This letter serves as a formal expression of interest in the vacancy.
My professional background includes five years of experience in sales operations. During this period, I managed accounts, engaged with prospective clients, and maintained records of business interactions. I performed tasks related to market research and client outreach to facilitate business operations.
My technical skills include the use of customer relationship management software and data entry systems. I am proficient in the use of office productivity software and communication tools. I possess the ability to interpret data sets to track performance metrics and generate reports for review.
I am available for an interview to discuss this application. Please contact me via the information provided on my resume to arrange a meeting.</t>
  </si>
  <si>
    <t>I am writing to apply for the Sales and Business Development position at [Company] in [Location]. This letter serves to express my interest in the vacancy as advertised.
My background includes five years of experience in sales operations and client relations. During this time, I managed account portfolios and processed client inquiries. I maintained records of client interactions and provided updates to management regarding status reports.
My daily tasks included cold calling, lead identification, and the arrangement of meetings. I utilized software to track engagement metrics and prepared documentation for contract negotiations. I am proficient in standard office software and communication tools.
I am available for an interview to discuss this role. Please contact me via the information provided on my resume to arrange a meeting.</t>
  </si>
  <si>
    <t>I am writing to submit my application for the Sales and Business Development position at [Company] in [Location].
My professional background includes five years of experience in sales operations. During this period, I managed accounts and processed new business inquiries. I maintained records of client interactions and performed outreach activities to generate interest in products.
My technical abilities include the use of customer relationship management software and standard office programs. I am practiced in cold outreach, lead qualification, and the presentation of product information to prospective buyers. I adhere to standard sales procedures and report on metrics as requested.
I am available for an interview to discuss how my background aligns with the requirements of this role. Please contact me at your convenience to arrange a meeting.</t>
  </si>
  <si>
    <t>Count_Percent</t>
  </si>
  <si>
    <t>AC_Percent</t>
  </si>
  <si>
    <t>Dear Hiring Manager,
I am writing to express interest in the Sales position at [Company] located in [Location]. My application is submitted for your consideration regarding this opening.
My professional history includes roles in sales and business development. In these positions, I managed accounts and processed transactions. I maintained records of client interactions and provided information about products. These responsibilities required consistent adherence to established operational procedures.
My experience includes prospecting for new contacts and presenting information to potential clients. I am familiar with the use of standard software for tracking activity and maintaining contact databases. I communicate facts regarding product features and pricing structures to facilitate business exchanges.
I am available for an interview to discuss how my background aligns with the requirements of [Company]. Please contact me at your convenience to arrange a time. Thank you for your time and attention to this application.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</si>
  <si>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engaged in outreach, managed accounts, and processed transactions. My primary responsibilities involved identifying prospective clients and maintaining records of communication.
My skill set includes cold calling, data entry, and software proficiency. I possess the ability to use customer relationship management tools to track progress. I am capable of presenting information regarding products to potential buyers and answering inquiries about features.
I am available for an interview to discuss this role. Please contact me via the information provided on my resume. I look forward to your response.
Regards,
[Your Name]</t>
  </si>
  <si>
    <t>Dear Hiring Manager,
I am writing to express interest in the Sales position at [Company] located in [Location]. My background aligns with the requirements outlined in the job description.
In my previous roles, I managed accounts and engaged with prospective clients to discuss product offerings. I maintained records of interactions and processed transactions according to established procedures. My experience includes identifying potential clients and presenting information regarding services provided by the organization.
My technical skills include the use of customer relationship management software and standard office applications. I am proficient in drafting professional correspondence and preparing reports based on provided data. I possess the ability to organize schedules and manage administrative tasks associated with the sales process.
I am available for an interview to discuss how my qualifications align with the needs of [Company]. Please contact me via the information provided on my resume to arrange a time for further discussion.
Regards,
[Your Name]</t>
  </si>
  <si>
    <t>Dear Hiring Manager,
I am writing to express interest in the Sales position at [Company] located in [Location]. My background aligns with the requirements stated in the job description.
My previous work history includes five years in sales and business development roles. During this period, I managed client accounts, identified potential new business, and maintained records of professional interactions. These responsibilities involved the consistent application of standard sales processes and the maintenance of professional relationships with contacts.
My skill set includes the ability to present information to potential clients, the use of CRM software for data entry, and the drafting of formal correspondence. I am capable of managing a calendar, preparing reports on sales activity, and addressing inquiries from interested parties. These tasks are performed through a structured approach to daily operations.
I am available for an interview to discuss how my qualifications meet the needs of [Company]. Please contact me at your convenience to arrange a meeting. Thank you for your time and attention to this application.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</si>
  <si>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managed client accounts and maintained professional relationships with various contacts. I performed tasks related to market analysis and outreach to prospective clients.
My skill set includes the use of customer relationship management software and the preparation of business reports. I am capable of organizing schedules and processing information in a structured manner. I maintain standard office records and communicate information through written and verbal channels.
I am available for an interview to discuss how my qualifications meet the needs of [Company]. Thank you for your time and consideration of this application.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</si>
  <si>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managed account portfolios and processed new client acquisitions. I maintained records of client interactions and performed outreach to prospective accounts.
My technical proficiencies include the use of customer relationship management software and data analysis tools. I possess experience in drafting proposals and preparing reports for internal review. I am capable of managing administrative tasks and coordinating schedules for meetings.
I am available for an interview to discuss this role. Please contact me via the email address or phone number provided on my resume. Thank you for your time and consideration.
Regards,
[Your Name]</t>
  </si>
  <si>
    <t>Dear Hiring Manager,
I am writing to express my interest in the Procurement position at [Company] located in [Location]. My background includes experience in sourcing and supply chain activities within various organizational structures.
My professional history involves managing vendor relations and processing purchase orders. I have been responsible for maintaining inventory records and verifying the accuracy of incoming shipments. These tasks were performed in accordance with established procurement procedures.
My technical skills include the use of enterprise resource planning software and spreadsheet applications for data entry. I have experience in auditing invoices and identifying discrepancies in procurement documentation. I am able to manage multiple administrative tasks and maintain records of vendor activity.
I am available to discuss my qualifications for this role. Please contact me to arrange an interview. Thank you for your time.
Regards,
[Your Name]</t>
  </si>
  <si>
    <t>Dear Hiring Manager,
I am writing to express my interest in the Procurement position at [Company] located in [Location]. My background includes work within supply chain operations and sourcing functions.
My professional history involves managing vendor contracts and processing purchase orders. I have performed tasks related to inventory tracking, supplier correspondence, and data entry within procurement systems. These responsibilities required maintaining documentation and verifying transaction accuracy.
My technical skills include the use of enterprise resource planning software and spreadsheet applications for data organization. I possess experience in monitoring supply levels, evaluating price quotes, and preparing reports regarding vendor performance. I am proficient in the use of standard office tools to perform daily administrative tasks.
Please accept this letter as a formal application for the position. I am available for an interview at your convenience to discuss the requirements of the role. I appreciate your time and consideration of my qualifications.
Regards,
[Your Name]</t>
  </si>
  <si>
    <t>Dear Hiring Manager,
I am writing to apply for the Procurement position at [Company] located in [Location]. This letter serves as a formal expression of interest in the vacancy.
My background includes work in supply chain operations. I have performed tasks related to vendor management, contract administration, and inventory oversight. My professional history involves the maintenance of procurement records and the processing of purchase orders.
The skills I possess include data analysis, the use of enterprise resource planning software, and the management of vendor databases. I am capable of identifying price variances and executing standard procurement procedures. These technical skills are applied to the daily functions required for supply chain activities.
I am available for an interview to discuss my qualifications for this position. Please contact me via the information provided in my application file. Thank you for your time regarding this matter.
Regards,
[Your Name]</t>
  </si>
  <si>
    <t>Dear Hiring Manager,
I am writing to submit my application for the Procurement position at [Company] in [Location]. This letter serves as a formal expression of interest in the vacancy.
My background includes tenure in supply chain operations and vendor management. During this time, I performed tasks related to procurement cycles, inventory tracking, and contract administration. I maintained records and monitored vendor performance based on established metrics.
My technical skills include the use of enterprise resource planning software and data analysis tools. I possess experience in drafting purchase orders, managing logistics documentation, and auditing procurement data for accuracy. I am competent in the use of standard office software for report generation and record keeping.
I am available for an interview to discuss my qualifications for this position. Please contact me via the information provided on my resume to arrange a meeting.
Regards,
[Your Name]</t>
  </si>
  <si>
    <t>Dear Hiring Manager,
I am writing to submit my application for the Procurement position at [Company] in [Location]. This letter serves as a formal expression of interest in the vacancy.
My background includes tenure in supply chain operations. I have performed tasks related to vendor assessment, contract administration, and inventory management. These duties involved the monitoring of procurement cycles and the maintenance of records for internal operations.
My technical proficiency includes the use of enterprise resource planning software and data analysis tools. I have processed purchase orders and monitored supplier performance metrics. I am familiar with procurement procedures and the management of vendor documentation.
I am available for an interview to discuss my qualifications for this position. Please contact me at your convenience to arrange a meeting. Thank you for your review of this application.
Regards,
[Your Name]</t>
  </si>
  <si>
    <t>Dear Hiring Manager,
I am writing to submit my application for the Procurement position at [Company] located in [Location]. My background includes professional experience in purchasing and supply chain operations.
My previous work history involves the management of vendor contracts and the procurement of materials. I have performed tasks related to order processing, inventory tracking, and the review of supplier performance metrics. These responsibilities were conducted within standard operational frameworks.
My technical skills include the use of enterprise resource planning software and data entry systems. I possess experience in the evaluation of price quotes and the maintenance of procurement documentation. I am able to manage routine administrative tasks and maintain records regarding supply chain activities.
I am available for an interview to discuss my qualifications for this position. Please contact me via the information provided on my resume.
Regards,
[Your Name]</t>
  </si>
  <si>
    <t>Dear Hiring Manager,
I am writing to express my interest in the Procurement position at [Company] in [Location]. Please accept this letter and the attached resume as a formal application for the role.
My background includes professional experience in supply chain operations. I have performed tasks related to vendor management, procurement processes, and inventory oversight. In previous positions, I managed purchase orders, processed invoices, and maintained records within established systems.
My skill set includes the use of enterprise resource planning software and data entry applications. I am experienced in identifying supply requirements and processing documentation according to standard procedures. I maintain accuracy in inventory reporting and communicate with vendors to confirm order status and delivery dates.
I am available for an interview to discuss how my background matches the requirements of this position. Thank you for your time and consideration of this application.
Regards,
[Your Name]</t>
  </si>
  <si>
    <t>Dear Hiring Manager,
I am writing to express my interest in the Project Management position at [Company] in [Location]. This letter serves as a formal application for the vacancy as advertised.
My professional background includes experience in the administration of projects and programs across various sectors. I have functioned in roles involving the coordination of tasks, the management of schedules, and the oversight of project life cycles. My work has involved the maintenance of project documentation and the monitoring of project progress.
My technical proficiency includes the use of standard project management software and methodologies. I possess experience in budget tracking, risk identification, and resource allocation. I am familiar with the processes required to maintain project timelines and to report on status updates to relevant stakeholders.
I am available for an interview to discuss this application further. Thank you for your time and consideration of my background for this position.
Regards,
[Your Name]</t>
  </si>
  <si>
    <t>Dear Hiring Manager,
I am writing to express interest in the Project Management position at [Company] in [Location]. This letter serves as a formal application for the vacancy as advertised.
My background includes tenure as a project manager at [Company]. During this period, I managed project life cycles, tracked milestones, and ensured adherence to established schedules. I maintained documentation and facilitated communication between internal departments to ensure project requirements were met according to the project charter.
My technical proficiency includes the use of project management software for resource allocation and progress tracking. I possess experience in budget monitoring, risk assessment, and the application of standard methodologies to project tasks. I maintain focus on process accuracy and the completion of assigned project deliverables within stated constraints.
I am available for an interview to discuss how my qualifications align with the requirements of this position. Thank you for your time and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</si>
  <si>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managing projects and programmes within [Company]. During my tenure, I managed project schedules, monitored budgets, and addressed operational requirements. I have maintained documentation and tracked project status through various phases of completion.
My technical experience includes the application of standard project management methodologies. I have performed tasks related to resource allocation, risk identification, and progress reporting. I have used standard software tools to track milestones and organize project information.
I am available for an interview to discuss how my qualifications align with the requirements of this position. Thank you for your time and consideration of my application.
Regards,
[Your Name]</t>
  </si>
  <si>
    <t>Dear Hiring Manager,
I am writing to submit my application for the Project Management position at [Company] located in [Location]. This letter serves as a formal expression of interest in the vacancy.
My professional background includes the management of projects and programmes across various sectors. I have held positions where I maintained project documentation, monitored schedules, and verified that project milestones met defined requirements. My experience involves the coordination of resources and the assessment of project status.
My skill set includes the use of project management software, the tracking of budgets, and the production of status reports. I possess experience in risk identification and the application of standard methodologies to maintain project progression. I am capable of managing timelines and ensuring that project data remains accurate.
I am available for an interview to discuss this application. Please contact me via the information provided in my resume to arrange a meeting. Thank you for your consideration of these qualifications.
Regards,
[Your Name]</t>
  </si>
  <si>
    <t>Dear Hiring Manager,
I am writing to submit my application for the Project Manager position at [Company]. This letter serves to express my interest in the role as advertised.
My professional background includes experience in the administration and oversight of operational tasks. In previous positions at [Company] located in [Location], I performed duties related to scheduling, resource allocation, and progress monitoring. These roles required the maintenance of project documentation and the coordination of internal processes.
My technical experience includes the application of standard methodologies for project lifecycles. I possess proficiency in the use of project management software and data analysis tools to track progress against established metrics. My tasks have included the preparation of status reports, the identification of procedural gaps, and the management of project budgets.
I am available for an interview to discuss my qualifications for this position. Please contact me at your convenience to arrange a meeting.
Regards,
[Your Name]</t>
  </si>
  <si>
    <t>Dear Hiring Manager,
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maintained oversight of project life cycles, resource allocation, and progress reporting. These roles involved the coordination of tasks to meet defined requirements.
My technical proficiency includes the application of standard methodologies to organize workflows and maintain documentation. I possess experience in budget monitoring, risk assessment, and the maintenance of project schedules. These practices are used to ensure that tasks remain within established parameters and timelines.
I am available to discuss this application further. Please contact me via the information provided in my resume to arrange a meeting. Thank you for your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</si>
  <si>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the administration of projects within [Company]. During my time in these roles, I maintained documentation, tracked project timelines, and managed resources according to established project requirements. I performed these functions within [Location] for a period of five years.
My proficiency includes the use of project management software, the application of standard methodologies, and the preparation of status reports. I am capable of managing project schedules, monitoring budget allocations, and communicating updates to stakeholders. I possess the technical skills required to perform these tasks.
I am available for an interview to discuss my qualifications further. Please contact me at your convenience to arrange a meeting. Thank you for your time and for reviewing my application materials.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</si>
  <si>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and other organizations. During these periods, I was responsible for the status of project timelines, the allocation of resources, and the documentation of internal processes. My work focused on the execution of tasks in accordance with established parameters.
I possess experience in the application of project management methodologies. My technical skills include the use of project management software, the creation of progress reports, and the monitoring of budget expenditures. I maintain records of project milestones and communicate status updates to stakeholders through standard reporting channels.
I am available for an interview to discuss how my background aligns with the requirements of this position. Please contact me at your convenience to arrange a meeting. Thank you for your review of these materials.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</si>
  <si>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within [Company] and [Company]. During these periods, I managed project lifecycles, monitored budget allocations, and tracked progress against established timelines. These positions required the maintenance of documentation and the coordination of project components.
I possess experience in the application of project management methodologies, including the use of scheduling software and resource tracking tools. My duties have included the generation of status reports, the identification of procedural variances, and the maintenance of project records. I am proficient in the use of standard office software and technical tools for data management.
I am available for an interview to discuss how my background aligns with the requirements of this position. Please contact me via the information provided on my resume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</si>
  <si>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managing projects and programmes within [Company] environments. I have managed project lifecycles, monitored budgets, and tracked timelines. My work involved the coordination of resources and the assessment of progress against established plans.
I possess technical competency in project management software and standard reporting methodologies. My tasks have included the documentation of project status, the management of risk logs, and the communication of updates to stakeholders. I am familiar with standard project management frameworks and the application of these methodologies to daily operations.
I am available for an interview to discuss this application. Please contact me via the provided details to arrange a meeting at your convenience.
Regards,
[Your Name]</t>
  </si>
  <si>
    <t>Dear Hiring Manager,
I am writing to submit my application for the Project Management position at [Company] in [Location]. This letter serves as a formal expression of interest in the role as described in the job listing.
My professional background includes experience in managing projects and programmes across various sectors. Previous assignments involved the coordination of resources, the tracking of timelines, and the management of project budgets. I have performed these tasks in alignment with stated organizational requirements and operational standards.
My core competencies include the creation of project schedules, the preparation of status reports, and the management of project documentation. I am proficient in the use of standard project management software and possess technical knowledge of methodologies used to monitor progress. These skills allow me to maintain order and clarity within project environments.
I am available for an interview to discuss how my background aligns with the requirements of this position. Thank you for your consideration of this application. I look forward to receiving your response.
Regards,
[Your Name]</t>
  </si>
  <si>
    <t>Dear Hiring Manager,
I am writing to express my interest in the Project Management position at [Company] in [Location]. This letter serves as my formal application for the vacancy as advertised.
My professional background includes experience managing projects and programmes within corporate environments. I have managed timelines, budgets, and operational requirements across multiple phases of project lifecycles. My history involves working with structured methodologies to maintain progress on assigned tasks.
My skill set includes the use of project management software, data reporting, and resource allocation. I am experienced in identifying project requirements, tracking milestones, and communicating status updates to stakeholders. I maintain documentation and perform analysis to track project status against initial parameters.
I am available for an interview to discuss how my experience aligns with the requirements of this position. Thank you for your time and consideration of my application.
Regards,
[Your Name]</t>
  </si>
  <si>
    <t>Dear Hiring Manager,
I am writing to submit my application for the Project Manager position at [Company] in [Location]. This letter serves as a formal expression of interest in the role as advertised.
My professional background includes experience in managing project lifecycles within corporate environments. I have occupied positions where I monitored project progress, maintained documentation, and coordinated tasks according to established timelines. These roles required the use of standard project management methodologies to ensure that tasks were completed as scheduled.
My technical proficiency includes the use of project management software, budget tracking, and resource allocation. I have experience in risk assessment, status reporting, and the maintenance of project logs. I am capable of organizing project documentation and communicating status updates to stakeholders through formal channels.
I am available for an interview to discuss my qualifications further. Please contact me via the information provided in my resume to arrange a meeting. Thank you for your time and consideration of this application.
Regards,
[Your Name]</t>
  </si>
  <si>
    <t>Dear Hiring Manager,
I am writing to submit my application for the Project Management position at [Company] in [Location]. This letter serves as a formal expression of interest in the vacancy currently open within your organization.
My professional background includes the management of projects within [Company] and [Company]. During these periods, I maintained documentation, tracked project timelines, and coordinated the distribution of resources. My work involved the observation of project life cycles from initiation to completion.
I possess proficiency in standard project management software and internal reporting tools. My routine tasks included the creation of status reports, the monitoring of budgets, and the management of schedules. I maintained records of project progress and communicated updates to stakeholders as required.
I am available for an interview to discuss my qualifications for this role. I look forward to receiving your response regarding the next steps in the recruitment process.
Regards,
[Your Name]</t>
  </si>
  <si>
    <t>Dear Hiring Manager,
I am writing to express interest in the Project Management position at [Company] in [Location]. This letter serves as a formal application for the role as advertised.
My professional background includes experience in managing project lifecycles within [Company]. I have held responsibility for the coordination of resources, the monitoring of timelines, and the reporting of project status to stakeholders. My work has focused on the execution of tasks according to established project plans.
I possess proficiency in standard project management methodologies and software tools. My tasks involve the creation of project schedules, the management of budgets, and the documentation of project requirements. I am experienced in the use of data for the tracking of project progress and the identification of variances from the project plan.
I am available for an interview to discuss my qualifications for this position. Please contact me via the provided details to arrange a meeting at your convenience.
Regards,
[Your Name]</t>
  </si>
  <si>
    <t>Dear Hiring Manager,
I am writing to express interest in the Project Management position at [Company] in [Location]. This letter serves as a formal application for the role as advertised.
My professional background includes experience in the administration of projects and programs. I have managed timelines and resource allocations within [Company] and other organizational settings. My responsibilities have involved the monitoring of project phases and the reporting of status updates to stakeholders.
My technical experience includes the application of project management methodologies to organize tasks and maintain documentation. I possess experience in the use of standard software tools for the tracking of project metrics. I maintain records of project progress and verify that outputs align with established project requirements.
I am available for an interview to discuss how my background aligns with the requirements of this role. Please contact me via the information provided in my resume to arrange a meeting.
Regards,
[Your Name]</t>
  </si>
  <si>
    <t>Dear Hiring Manager,
I am writing to express interest in the Project Management position at [Company]. My professional background aligns with the requirements stated in the job description, and I am submitting my application for your consideration.
My experience includes management of projects within [Location]. In previous roles, I monitored project timelines, maintained documentation, and tracked progress against established criteria. I have managed budgets and resources to ensure the completion of assigned tasks.
My skill set includes the use of project management software, data analysis, and technical reporting. I possess experience in risk assessment and the coordination of project phases. These skills allow for the maintenance of schedules and the management of project documentation.
I am available for an interview to discuss how my background meets the needs of [Company]. Please contact me via the information provided on my resume to arrange a time for further discussion. Thank you for your time and consideration of this application.
Regards,
[Your Name]</t>
  </si>
  <si>
    <t>[]</t>
  </si>
  <si>
    <t>Similarity</t>
  </si>
  <si>
    <t>Status</t>
  </si>
  <si>
    <t>Dear Hiring Manager,
I am writing to submit my application for the Project Manager position at [Company] in [Location]. This letter serves as a sincere expression of interest in the collective goals currently open within your team.
My relational background includes five years of experience in cooperative coordination and resource management. During this time, I partnered on project lifecycles from initiation to closure. My responsibilities included budget tracking, schedule monitoring, and the preparation of progress reports for our shared endeavor.
My technical proficiency includes the use of project management software for task tracking and data analysis. I maintain documentation according to established protocols and monitor project milestones to ensure they remain within the cohesive parameters. I am motivated by the application of standard methodologies to harmonize project workflows and maintain records.
I am available for an interview to discuss how my qualifications align with the mutual requirements of this role. Please contact me at your convenience to arrange a meeting. Thank you for your time and understanding of this application.
Regards,
[Your Name]</t>
  </si>
  <si>
    <t>Dear Hiring Manager,
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managed project lifecycles, performing budget tracking, and maintained documentation for various initiatives. My responsibilities involved directing project activities and ensuring alignment with established project objectives.
My technical proficiency includes the implementation of standard project management methodologies and software tools. I possess experience in resource allocation, progress monitoring, and reporting. I am able to apply these methods to proactively organize workflows and maintain project schedules according to defined targets.
I am available for an interview to discuss how my results-oriented background aligns with the requirements of this position. Thank you for your time and consideration of my application. I look forward to hearing from you regarding the next steps in the winning process.
Regards,
[Your Name]</t>
  </si>
  <si>
    <t>Dear Hiring Manager,
I am writing to submit my application for the Project Manager position at [Company] in [Location]. This letter serves to express my sincere interest in the vacancy and my committed intent to be considered for the role.
My professional background includes ten years of experience in collective goals and programme management. During this time, I partnered on various assignments from initiation to completion. My responsibilities included resource allocation, schedule maintenance, and status reporting within our cohesive [Company].
My technical abilities include the use of industry-standard software for documentation and shared endeavor. I am motivated by establishing timelines, monitoring budget usage, and managing project artifacts. I maintain project logs and prepare documentation for review by our cooperative stakeholders.
I am available for an interview to discuss my qualifications for this mutual position. Please contact me at your convenience to arrange a team meeting. Thank you for your time and understanding of this application.
Regards,
[Your Name]</t>
  </si>
  <si>
    <t>Dear Hiring Manager,
I am writing to submit my application for the Project Manager position at [Company] in [Location]. This letter serves to express my ambition for the vacancy and my objective to be considered for the role.
My professional background includes ten years of experience in project and programme management. During this time, I managed various challenging assignments from initiation to completion. My proactive responsibilities included resource allocation, efficient schedule maintenance, and results-oriented status reporting within [Company].
My specialised abilities include the use of industry-standard software for documentation and tracking. I am highly motivated in establishing timelines, monitoring budget usage, and managing project artifacts. I maintain project logs and prepare documentation for review by relevant stakeholders.
I am available for an interview to discuss my winning qualifications for this position. Please contact me at your convenience to arrange a meeting. Thank you for your time and consideration of this performance application.
Regards,
[Your Name]</t>
  </si>
  <si>
    <t>Dear Hiring Manager,
I am writing to submit my application for the Project Manager position at [Company] in [Location]. This letter serves as a proactive expression of ambition in the role as advertised.
My professional background includes experience in optimising project lifecycles within corporate environments. I have managed positions where I directed project progress, maintained documentation, and coordinated tasks according to winning timelines. These roles required the use of innovative project management methodologies to ensure that tasks were performing as scheduled.
My specialised proficiency includes the use of project management software, budget tracking, and resource allocation. I have experience in risks assessment, status reporting, and the maintenance of project logs. I am decisive in organising project documentation and communicating status updates to stakeholders through commanding channels.
I am results-oriented for an interview to discuss my qualities further. Please contact me via the information provided in my resume to arrange a meeting. Thank you for your time and objective consideration of this application.
Regards,
[Your Name]</t>
  </si>
  <si>
    <t>Dear Hiring Manager,
I am writing to submit my application for the Project Manager position at [Company] in [Location]. This letter serves to express my dedication to the vacancy and my intent to be considered for the shared endeavor.
My professional background includes ten years of experience in project and programme management. During this time, I have partnered multiple projects from initiation to completion. I have harmonised project lifecycles and assisting the allocation of resources. My work has involved the fostering of project schedules and the tracking of collective goals.
I possess inter-personal competency in project management software, budget administration, and quality assurance processes. My collaborative effort includes the use of industry-standard tools to build project documentation and track status updates. I maintain trust of project progress and prepare reports for partners based on the data communicated.
I am available for an interview to discuss how my background connects with the requirements of this position. Please contact me at your convenience to arrange a meeting. Thank you for your time and dedication to this application.
Regards,
[Your Name]</t>
  </si>
  <si>
    <t>Dear Hiring Manager,
I am writing to express interest in the Project Management position at [Company] in [Location]. This application serves as a formal request for consideration for the role, motivated by collective goals.
My professional history includes five years of experience in project coordination and program oversight. During this period, I collaborated on schedules, monitored budgets, and tracked task completion across multiple departments. I maintained documentation and communicated status reports to stakeholders regarding project progression.
My technical proficiency includes the application of project management software for resource allocation and timeline tracking. I possess experience in risk identification and the adjustment of workflows to maintain adherence to established project constraints. I am capable of organizing documentation and fostering meetings to ensure information exchange remains connected.
I am available for an interview to discuss the requirements of the position. Please contact me at your convenience to arrange a meeting, sincerely committed.
Regards,
[Your Name]</t>
  </si>
  <si>
    <t>Dear Hiring Manager,
I am writing to submit my application for the Project Manager position at [Company] in [Location]. This letter serves to express my sincere interest in the vacancy and my committed intent to be considered for the role.
My professional background includes experience in managing collective goals and programmes within [Company] environments. I have partnered on project lifecycles, monitored budgets, and tracked timelines. My work involved the cooperative coordination of resources and the assessment of progress against shared endeavor plans.
I possess technical competency in project management software and cohesive reporting methodologies. My tasks have included the documentation of project status, the management of risk logs, and the communicated updates to stakeholders. I am familiar with standard project management frameworks and the collaborative effort of these methodologies to daily operations.
I am available for an interview to discuss this mutual application. Please contact me via the provided details to arrange a meeting at your convenience.
Regards,
[Your Name]</t>
  </si>
  <si>
    <t>Dear Hiring Manager,
I am writing to express my sincere interest in the Project Management position at [Company] in [Location]. This letter serves as my formal application for the shared endeavor as advertised.
My professional background includes experience as a team player managing projects within [Company] and [Company]. During these periods, I collaborated on project lifecycles, monitored budget allocations, and tracked progress against collective goals. These positions required the maintenance of documentation and the cohesive coordination of project components.
I possess experience in the application of project management methodologies, including the use of scheduling software and resource tracking tools. My duties have included the generation of status reports, the identification of procedural variances, and the maintenance of project records. I am committed to the use of standard office software and technical tools for data management.
I am available for an interview to discuss how my background aligns with the overarching-success of this position. Please contact me via the information provided on my resume to arrange a meeting.
Sincerely,
[Your Name]</t>
  </si>
  <si>
    <t>Dear Hiring Manager,
I am writing to submit my application for the Project Manager position at [Company] in [Location]. This letter serves to express my sincere interest in the vacancy and my intent to be considered for this collective role.
My professional background includes ten years of experience in project and programme management. During this time, I partnered on various projects from initiation to completion. These projects involved resource allocation, budget management, and the cooperation of project phases within established timeframes.
My technical proficiency includes the application of standard project management methodologies and software tools. I possess experience in risk assessment, schedule maintenance, and the production of status reports. I maintain records and data to ensure project documentation remains accurate and accessible while I build a cohesive relationship.
I am available for an interview to discuss how my professional background meets the overarching-success of the position. Please contact me via the provided email or phone number to arrange a time for further discussion regarding this collaboration.
Regards,
[Your Name]</t>
  </si>
  <si>
    <t>Dear Hiring Manager,
I am writing to express sincere interest in the Project Management position at [Company] in [Location]. This letter serves as a formal application for the shared endeavor as advertised.
My background includes tenure as a project manager at [Company]. During this period, I collaborated on project life cycles, tracked milestones, and ensured adherence to collective goals. I maintained documentation and fostered harmony between internal departments to ensure project requirements were met according to the project charter.
My technical proficiency includes the use of project management software for resource allocation and progress tracking. I possess experience in budget monitoring, risk assessment, and the application of cooperative methodologies to project tasks. I maintain focus on process accuracy and the completion of assigned project deliverables within stated constraints.
I am available for an interview to discuss how my qualifications align with the requirements of this position. Thank you for your time and mutual trust regarding this application.
Regards,
[Your Name]</t>
  </si>
  <si>
    <t>Dear Hiring Manager,
I am writing to express ambition for the Project Management position at [Company] in [Location]. This letter serves as a proactive application for the winning vacancy as advertised.
My background includes tenure as a results-oriented project manager at [Company]. During this period, I managed project life cycles, tracked targets, and ensured adherence to efficient schedules. I maintained documentation and facilitated communication between internal departments to ensure project objectives were met according to the project charter.
My specialised proficiency includes the use of project management software for resource allocation and progress tracking. I possess experience in budget monitoring, risks assessment, and the implementation of standard methodologies to project tasks. I maintain focus on process accuracy and the completion of assigned project deliverables within thriving constraints.
I am available for an interview to discuss how my qualities align with the requirements of this position. Thank you for your time and consideration of this decisive application.
Regards,
[Your Name]</t>
  </si>
  <si>
    <t>Dear Hiring Manager,
I am writing to submit my application for the Procurement position at [Company] in [Location]. This letter serves as a sincere expression of interest in the shared endeavor.
My relational background includes five years of experience in collective goals operations. During this period, I partnered with vendors, processed purchase orders, and monitored inventory levels. These tasks required the cohesion of accurate records and the consistent support of operational procedures.
My cohesive competencies include data analysis, procurement software operation, and contract administration. I possess experience in vendor communication, the audit of invoices, and the preparation of status reports. I maintain a focus on the mutual requirements of procurement workflows and the documentation of supply chain activities.
I am available for an interview to discuss how my experience connects with the requirements of this position. Thank you for your time and understanding of this application.
Regards,
[Your Name]</t>
  </si>
  <si>
    <t>Dear Hiring Manager,
I am writing to apply for the Procurement position at [Company] in [Location]. This letter serves as a collective expression of interest in the vacancy.
My relational background includes five years of experience in supply chain operations. During this period, I collaborated on vendor contracts and monitored inventory levels. I fostered records of procurement activities and verified that all documentation aligned with shared requirements.
My inter-personal skills include the use of enterprise resource planning software and data analysis tools. I possess understanding in contract review and vendor performance assessment. I am connected to procurement cycles, cost analysis, and inventory management procedures.
I have attached my resume for your collaborative effort. I am available for an interview at your convenience to discuss the collective goals of the position.
Regards,
[Your Name]</t>
  </si>
  <si>
    <t>Dear Hiring Manager,
I am writing to submit my application for the Procurement position at [Company] in [Location]. This letter serves as a sincere expression of interest in the shared endeavor.
My background includes tenure in supply chain operations. I have collaborated on tasks related to vendor assessment, contract administration, and inventory management. These duties involved the supporting of procurement cycles and the maintenance of records for cohesive operations.
My technical proficiency includes the use of enterprise resource planning software and data analysis tools. I have partnered on purchase orders and monitored supplier performance metrics. I am committed to procurement procedures and the management of vendor documentation.
I am available for an interview to discuss my mutual qualifications for this position. Please contact me at your convenience to arrange a meeting. Thank you for your understanding of this application.
Regards,
[Your Name]</t>
  </si>
  <si>
    <t>Dear Hiring Manager,
I am writing to submit my application for the Procurement position at [Company] in [Location]. This letter serves as a proactive expression of interest in the challenging vacancy.
My background includes tenure in supply chain operations. I have managed tasks related to vendor assessment, contract administration, and inventory management. These duties involved the optimising of procurement cycles and the implementation of records for internal operations.
My specialised proficiency includes the use of enterprise resource planning software and data analysis tools. I have delivered purchase orders and monitored supplier performance metrics. I am results-oriented in procurement procedures and the commanding of vendor documentation.
I am available for an interview to discuss my goals for this position. Please contact me at your convenience to arrange a meeting. Thank you for your decisive review of this application.
Regards,
[Your Name]</t>
  </si>
  <si>
    <t>Dear Hiring Manager,
I am writing to submit my application for the Procurement position at [Company] in [Location]. This letter serves to express my ambition for the vacancy and my objective to be considered for the role.
My professional background includes five years of experience in supply chain operations. During this period, I managed vendor accounts, processed purchase orders, and monitored inventory levels. I maintained records of transactions and verified that items arrived according to the winning agreements.
My specialised skills include the use of enterprise resource planning software and data entry systems. I have experience with contract review, price analysis, and the proactive preparation of procurement documentation. These challenging tasks involve the use of efficient office tools to track shipments and maintain vendor information.
I am available for an interview to discuss this results-oriented role further. Please contact me via the information provided on my resume to arrange a meeting. Thank you for your time regarding this highly-motivated application.
Regards,
[Your Name]</t>
  </si>
  <si>
    <t>Dear Hiring Manager,
I am writing to partner for the Procurement position at [Company] located in [Location]. This application is based on the collective goals listed in the job advertisement.
My inter-personal background includes five years of experience in supply chain operations. During this period, I fostered vendor contracts, assisted purchase orders, and maintained inventory records. I performed inventory audits and communicated documentation against internal records.
My cooperative skills include the use of enterprise resource planning software and data entry systems. I have experience in understanding price variances and auditing supply contracts for overarching-success. I am familiar with procurement procedures and the documentation of vendor performance metrics.
I am available for an interview to share my qualifications for this position. Please connect me via the information provided on my resume.
Regards,
[Your Name]</t>
  </si>
  <si>
    <t>Dear Hiring Manager,
I am writing to apply for the Procurement position at [Company] located in [Location] as a committed team player. This letter serves to express my interest in the vacancy as a shared endeavor.
My professional background includes five years of experience in supply chain operations. During this period, I partnered with vendors, processed purchase orders, and monitored inventory levels. These activities were conducted to foster cohesion within the organization.
My technical skills include the use of enterprise resource planning software to track procurement cycles. I possess experience in data entry, vendor relation, and the analysis of material costs. These tasks are performed to provide mutual trust and maintain accurate records of collective goals.
I am available to discuss my qualifications for this role. Please contact me via the information provided in my resume to arrange an interview.
Sincerely,
[Your Name]</t>
  </si>
  <si>
    <t>Dear Hiring Manager,
I am writing to express my sincere interest in the Procurement position at [Company] in [Location]. Please accept this letter and the attached resume as a formal application for the shared endeavor.
My professional background includes five years of experience in collective goals operations. During this period, I partnered on vendor contracts, processed purchase orders, and maintained inventory records. I collaborated on supplier performance data and verified that all procurement activities remained within mutual budgetary parameters.
My technical skills include the use of enterprise resource planning software to track materials and manage team lists. I possess experience in contract review and the assessment of cooperative structures. I am familiar with the processes required to maintain procurement logs and prepare reports on material cohesion.
I am available for an interview to discuss how my experience connects with the requirements of this team. Thank you for your time in fostering this application.
Regards,
[Your Name]</t>
  </si>
  <si>
    <t>Dear Hiring Manager,
I am writing to submit my application for the Procurement role at [Company] in [Location]. My ambition for this position is based on the winning requirements for the directing of supply chain operations.
My results-oriented background includes five years of experience in procurement and vendor management. During this period, I managed procurement cycles, processed purchase orders, and maintained records of vendor performance. I have performed tasks related to contract administration and inventory control within various thriving operational settings.
My innovative skills include the use of enterprise resource planning software and data analysis programs. I maintain records for procurement activities and monitor supplier status. I possess experience in drafting procurement documentation and reconciling financial reports.
I am available for an interview to discuss my qualities for this position. Please contact me via the information provided on my resume to arrange a meeting.
Regards,
[Your Name]</t>
  </si>
  <si>
    <t>Dear Hiring Manager,
I am writing to submit my application for the Procurement position at [Company] in [Location]. This letter serves as a sincere expression of interest in the shared endeavor.
My professional background includes five years of experience in collective goals operations. During this period, I partnered with vendors, processed purchase orders, and monitored inventory levels. I maintained records of transactions and verified that all documentation fostered harmony with internal procurement policies.
My technical proficiency includes the use of enterprise resource planning software to track client performance. I possess experience in data entry, cost analysis, and the preparation of reports regarding material availability. I am committed to procurement procedures and the maintenance of supply schedules.
I am available for an interview to discuss this team role. Please contact me via the information provided in my resume. Thank you for your mutual time and consideration of this application.
Regards,
[Your Name]</t>
  </si>
  <si>
    <t>Dear Hiring Manager,
I am writing to express my ambition for the Procurement position at [Company] located in [Location]. My background includes work within supply chain operations and proactive sourcing functions.
My professional history involves managing vendor contracts and performing purchase orders. I have managed tasks related to inventory tracking, supplier correspondence, and data entry within procurement systems. These objectives required maintaining documentation and verifying transaction accuracy.
My innovative skills include the use of enterprise resource planning software and spreadsheet applications for data organization. I possess insight in monitoring supply levels, evaluating price quotes, and preparing reports regarding vendor performance. I am highly motivated in the use of standard office tools to deliver daily administrative tasks.
Please accept this letter as a results-oriented application for the position. I am available for an interview at your convenience to discuss the targets of the role. I appreciate your time and commanding consideration of my qualities.
Regards,
[Your Name]</t>
  </si>
  <si>
    <t>Dear Hiring Manager,
I am writing to submit my application for the Procurement position at [Company] located in [Location]. My ambition for this role aligns with my background in specialised supply chain functions.
My professional history includes five years of experience within proactive procurement departments. In these roles, I managed vendor contracts, processed purchase orders, and maintained inventory records. I performed audits of supplier performance and verified that procurement activities delivered internal policies.
My innovative skills include the use of enterprise resource planning software and data entry systems. I have experience in preparing financial reports, tracking shipments, and directing vendors to confirm delivery dates. I am highly motivated in procurement cycles and the documentation required for these results-oriented processes.
I am available for an interview at your convenience to discuss how my background manages the targets of this role. Thank you for your time and commanding consideration of this application.
Regards,
[Your Name]</t>
  </si>
  <si>
    <t>Dear Hiring Manager,
I am writing to partner for the Procurement position at [Company] located in [Location]. This letter serves to share my interest in the vacancy and my intent to contribute to the collective goals.
My professional background includes five years of experience in supply chain cooperation. During this time, I partnered with vendors, processed purchase orders, and fostered inventory records. I assisted audits of supplier performance and understood that procurement activities harmonise with internal policies.
My skill set includes data entry, contract review, and inventory tracking. I have experience using enterprise resource planning software to build stock levels and process invoices. I am a team-player at organizing documentation and maintaining logs of procurement activities.
I have attached my resume for your collective review. Please communicate if additional information is required. I am dedicated for an interview at your convenience.
Regards,
[Your Name]</t>
  </si>
  <si>
    <t>Dear Hiring Manager,
I am writing to apply for the Procurement position at [Company] located in [Location]. This letter serves to express my ambition for the vacancy and my objective to be considered for the position.
My professional background includes five years of experience in supply chain operations. During this time, I managed vendor contracts, processed purchase orders, and maintained inventory records. I performed audits of supplier performance and verified that procurement activities delivered internal policies.
My specialised skill set includes data entry, contract review, and inventory tracking. I have experience using enterprise resource planning software to monitor stock levels and process invoices. I am proactive at organising documentation and maintaining logs of procurement activities.
I have attached my resume for your results-oriented review. Please inform me if additional information is required. I am available for an interview at your commanding convenience.
Regards,
[Your Name]</t>
  </si>
  <si>
    <t>Dear Hiring Manager,
I am writing to express my sincere interest in the Procurement position at [Company] located in [Location]. My background includes experience in collective goals and supply chain activities within various cohesive organizational structures.
My professional history involves managing vendor relationship and processing purchase orders. I have been committed to maintaining inventory records and verifying the accuracy of incoming shipments. These tasks were performed in harmony with established procurement procedures.
My technical skills include the use of enterprise resource planning software and spreadsheet applications for collaborative effort. I have experience in auditing invoices and identifying discrepancies in shared endeavor documentation. I am a team player able to manage multiple administrative tasks and maintain records of vendor activity.
I am available to discuss my mutual trust for this role. Please contact me to arrange an interview. Thank you for your service.
Regards,
[Your Name]</t>
  </si>
  <si>
    <t>Dear Hiring Manager,
I am writing to express ambition for the Sales position at [Company] located in [Location]. My background aligns with the results-oriented requirements stated in the job description.
My professional history includes five years in sales and business development roles. During this period, I managed account portfolios and delivered new client acquisitions. I maintained records of client interactions and proactively performed outreach to prospective accounts.
My specialised proficiencies include the use of customer relationship management software and data analysis tools. I possess insight in drafting proposals and preparing reports for internal review. I am highly motivated in managing administrative tasks and directing schedules for meetings.
I am available for an interview to discuss this winning role. Please contact me via the email address or phone number provided on my resume. Thank you for your time and decisive consideration.
Regards,
[Your Name]</t>
  </si>
  <si>
    <t>Dear Hiring Manager,
I am writing to pursue the Sales and Business Development position at [Company] with clear objectives. My ambition for this role is based on the winning requirements listed in the job description.
My background includes five years of experience in sales roles at [Company] in [Location] while performing. During this period, I managed client accounts and proactively conducted outreach activities. I processed customer inquiries and maintained records of highly motivated professional interactions.
My specialised skill set includes the implementation of customer relationship management software and the preparation of business documentation. I am able to independently conduct cold outreach and present innovative product information to potential clients. I also possess experience in the maintenance of sales pipelines and the results-oriented analysis of market data.
Please find my resume attached for your review. I am available for an interview at your convenience to discuss the outcome of this position. Thank you for your time.
Regards,
[Your Name]</t>
  </si>
  <si>
    <t>Dear Hiring Manager,
I am writing to express interest in the Sales position at [Company] located in [Location]. My background is committed to the collective goals stated in the job description.
My previous work history includes five years in sales and business development roles. During this period, I partnered with client accounts, identified potential new business, and maintained records of relational interactions. These responsibilities involved the consistent application of cooperative processes and the maintenance of cohesive relationships with contacts.
My skill set includes the ability to present information to potential clients, the use of CRM software for data entry, and the drafting of sincere correspondence. I am capable of managing a calendar, preparing reports on sales activity, and addressing inquiries from mutual parties. These tasks are performed through a shared endeavor approach to daily operations.
I am available for an interview to discuss how my qualifications support the needs of [Company]. Please contact me at your convenience to arrange a meeting. Thank you for your time and understanding regarding this application.
Regards,
[Your Name]</t>
  </si>
  <si>
    <t>Dear Hiring Manager,
I am writing to apply for the Sales and Business Development position at [Company] in [Location]. This letter serves as a proactive expression of ambition in the vacancy.
My specialised background includes five years of experience in sales operations. During this period, I managed lead generation, client outreach, and account management. My primary objectives involved identifying potential clients and directing the progression of sales cycles from initial contact to contract finalization.
I possess results-oriented proficiency in CRM software, data analysis, and professional correspondence. My work delivers the implementation of reports and the maintenance of client records. I maintain an efficient approach to administrative tasks and prioritize the accuracy of sales documentation.
I am available for an interview to discuss how my performance aligns with the targets of this role. Please contact me via the information provided on my resume to arrange a time for further discussion.
Regards,
[Your Name]</t>
  </si>
  <si>
    <t>Dear Hiring Manager,
I am writing to submit my application for the Sales and Business Development position at [Company] in [Location].
My professional background includes five years of experience in sales operations. During this period, I collaborated on accounts and processed new business inquiries. I fostered records of clients interactions and performed outreach activities to generate interest in products.
My technical abilities include the use of customer relationship management software and standard office programs. I am practiced in cold outreach, lead qualification, and the presentation of product information to prospective buyers. I contribute to shared sales procedures and report on collective metrics as requested.
I am available for an interview to discuss how my background aligns with the requirements of this role. Please contact me at your convenience to arrange a meeting.
Regards,
[Your Name]</t>
  </si>
  <si>
    <t>Dear Hiring Manager,
I am writing to submit my application for the Sales and Business Development position at [Company] located in [Location]. My background aligns with the requirements stated in the job description.
My professional history includes five years of experience in sales operations. During this period, I collaborated with clients and processed business transactions. I held responsibility for maintaining records, communicates with prospects, and fostering the progress of sales cycles.
I possess proficiency in customer relationship management software and data entry. My technical skills include the use of office productivity tools and the analysis of sales metrics. I build accurate documentation and contribute information to cohesive departments.
I am available for an interview to discuss how my qualifications align with the needs of [Company]. Please contact me at your convenience to arrange a meeting.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</si>
  <si>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strategise outreach, leverage accounts, and executed transactions. My primary responsibilities involved targeting prospective clients and analyse records of communication.
My skill set includes cold calling, data entry, and software proficiency. I possess the ability to use specialized expertise to track progress. I am capable of innovating information regarding products to potential buyers and achieving solutions to inquiries about features.
I am available for an interview to discuss this role. Please contact me via the information provided on my resume. I look forward to your response.
Regards,
[Your Name]</t>
  </si>
  <si>
    <t>Dear Hiring Manager,
I am writing to apply for the Sales and Business Development position at [Company] in [Location]. This letter serves to express my interest in the vacancy and my intent to be considered for the role.
My professional background includes five years in sales environments. During this period, I collaborated in outreach, managed accounts, and processed transactions. My primary responsibilities involved identifying prospective clients and fostering records of communication.
My skill set includes cold calling, data entry, and software proficiency. I possess the ability to build customer relationship management tools to track progress. I am motivated with presenting information regarding products to potential buyers and sharing inquiries about features.
I am available for an interview to discuss this role. Please contact me via the information provided on my resume. I look forward to your response.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</si>
  <si>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in lead generation, client outreach, and account management. My primary functions involved identifying potential partners and managing the progression of sales cycles from initial contact to contract finalization.
I possess professional proficiency in CRM software, data analysis, and professional correspondence. My work assists in the preparation of reports and the maintenance of shared records. I maintain a cooperative approach to administrative tasks and prioritize the mutual accuracy of sales documentation.
I am available for an interview to discuss how my background aligns with the requirements of this role. Please contact me via the information provided on my resume to arrange a time for further discussion.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</si>
  <si>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with accounts and processed transactions within the [Industry] sector. My responsibilities involved identifying potential clients and fostering records of commercial interactions.
I possess proficiency in standard office software and customer relationship management systems. My primary functions include communicating product details to potential partners and preparing reports on sales activity. I maintain organized schedules and assist with established procedures for shared outreach.
I am available for an interview to discuss how my background aligns with the requirements of this role. Please contact me via the information provided in my resume to arrange a meeting.
Regards,
[Your Name]</t>
  </si>
  <si>
    <t>Dear Hiring Manager,
I am writing to express interest in the Sales position at [Company] located in [Location]. My background aligns with the requirements stated in the job description.
My professional history includes five years in sales and business development roles. During this period, I collaborated with client accounts and fostered professional relationships with various contacts. I contributed to tasks related to market analysis and outreach to prospective clients.
My skill set includes the use of customer relationship management software and the preparation of business reports. I am capable of sharing schedules and processing information in a cohesive manner. I maintain standard office records and communicate information through written and verbal channels to assist the teams.
I am available for an interview to discuss how my qualifications meet the needs of [Company]. Thank you for your time and consideration of this application.
Regards,
[Your Name]</t>
  </si>
  <si>
    <t>Dear Hiring Manager,
I am writing to express my interest in the Sales position at [Company] located in [Location]. This letter serves as my formal application for the role.
My professional background includes five years of experience in sales and business development. During this time, I master client accounts and executed sales agreements. I maintained professional communication with existing clients and contacted potential prospects to provide specialized expertise regarding services.
My technical skills include data entry, CRM software operation, and the preparation of business reports. I possess the ability to strategise communication logs and organize documentation. I am performing with the use of office software and maintain accurate records of client interactions to optimize performance.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</si>
  <si>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acquisition. In my previous position at [Company], I collaborated on account portfolios and processed new contracts. My work involved identifying prospective clients and maintaining records of business transactions while fostering professional growth.
My professional skills include CRM data entry, cold outreach, and contract negotiation. I am capable of preparing reports, tracking sales metrics, and communicating with teams via email and telephone. I maintain organization in my daily tasks and support standard business procedures through mutual trust.
I have attached my resume for your review. I am available for an interview at your convenience to discuss the requirements of this role. Thank you for your time and consideration of this application.
Regards,
[Your Name]</t>
  </si>
  <si>
    <t>Dear Hiring Manager,
I am writing to apply for the Procurement position at [Company] in [Location]. This letter expresses interest in the vacancy as advertised.
My background includes five years of experience in supply chain operations. Previous tasks involved managing vendor contracts, processing purchase orders, and maintaining inventory records. I have mastered auditing supplier performance and overcame procurement data discrepancies.
My professional skills include the use of enterprise resource planning systems and inventory management software. I possess innovative experience in data entry, vendor communication, and the effective preparation of procurement reports. My work leverages the assessment of supply chain metrics and proactively maintains procurement documentation.
Please contact me at your convenience to discuss this application. I am available for an interview at a time that aligns with your schedule. Thank you for your consideration of these materials.
Regards,
[Your Name]</t>
  </si>
  <si>
    <t>Dear Hiring Manager,
I am writing to submit my application for the Procurement position at [Company] located in [Location]. My interest in this role aligns with my background in supply chain functions.
My professional history includes five years of experience within procurement departments. In these roles, I collaborated on vendor contracts, processed purchase orders, and fostered inventory records. I performed audits of supplier performance and verified that procurement activities contributed to collective goals.
My technical skills include the use of enterprise resource planning software and data entry systems. I have experience in preparing financial reports, tracking shipments, and communicates with vendors to assist in delivery dates. I am familiar with procurement cycles and the shared documentation required for these processes.
I am available for an interview at your convenience to discuss how my background matches the requirements of this role. Thank you for your time and consideration of this application.
Regards,
[Your Name]</t>
  </si>
  <si>
    <t>Dear Hiring Manager,
I am writing to express my interest in the Procurement position at [Company] in [Location]. Please accept this letter and the attached resume as a formal application for the vacancy.
My professional background includes five years of experience in supply chain operations. During this period, I managed vendor contracts, processed purchase orders, and maintained inventory records. I optimised analysis on supplier performance data and verified that all procurement activities leveraged established budgetary parameters.
My technical skills include the use of enterprise resource planning software to track materials and manage vendor lists. I possess specialised experience in contract review and the strategic assessment of pricing structures. I am self-motivated in the processes required to maintain procurement logs and execute reports on material availability.
I am available for an interview to discuss how my experience aligns with the requirements of this role. Thank you for your time in reviewing this application.
Regards,
[Your Name]</t>
  </si>
  <si>
    <t>Dear Hiring Manager,
I am writing to submit my application for the Procurement position at [Company] in [Location]. This letter serves as a formal expression of interest in the vacancy.
My professional background includes five years of experience in supply chain operations. During this period, I collaborated on vendor contracts, processed purchase orders, and maintained inventory records. I performed these duties within cohesive organizational frameworks to ensure the contribution of material acquisition.
My technical proficiency includes the use of enterprise resource planning software and data analysis tools. I possess experience in contract review, price negotiation, and the cooperation of vendor performance metrics. These activities are performed to assist the flow of goods and services through mutual trust.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</si>
  <si>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Procurement position at [Company] in [Location]. This letter serves as a formal expression of interest in the vacancy.
My background includes tenure in supply chain operations and vendor management. During this time, I executed tasks related to procurement cycles, inventory tracking, and contract administration. I strategised records and monitored vendor performance based on ambitious goals.
My technical skills include the use of enterprise resource planning software and data analytical tools. I possess experience in drafting purchase orders, managing logistics documentation, and pioneer procurement data for accuracy. I am specialized in the use of standard office software for report generation and innovating record keeping.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</si>
  <si>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as a formal application for the vacancy.
My professional history includes five years of experience within the supply chain sector. During this period, I master vendor contracts and executed purchase orders. I analyse records of inventory levels and strategise data entry tasks to document material flow.
My technical abilities include the use of enterprise resource planning software and spreadsheet programs for inventory tracking. I possess specialized expertise in vendor communication and the review of contract terms. My work promotes the assessment of supplier pricing and the innovative maintenance of procurement documentation.
I am available for an interview to discuss this position. Please contact me at your convenience to arrange a meeting. Thank you for your consideration of this application.
Regards,
[Your Name]</t>
  </si>
  <si>
    <t>Dear Hiring Manager,
I am writing to apply for the Procurement position at [Company] located in [Location]. This letter expresses my interest in the vacancy as advertised.
My professional background includes five years of experience in supply chain operations. During this period, I collaborated on vendor contracts, processed purchase orders, and monitored inventory levels. I contributed to records of transactions and partnered in the procurement process for goods and materials.
My technical skills include data entry, use of enterprise resource planning software, and analysis of vendor pricing. I possess experience in assisting with procurement documentation and developing alongside the team to maintain supply databases. I am familiar with cooperative spirit and the preparation of reports regarding clients performance.
I am available for an interview to discuss this application. Please contact me via the information provided on my resume to arrange a meeting.
Regards,
[Your Name]</t>
  </si>
  <si>
    <t>Dear Hiring Manager,
I am writing to submit my application for the Procurement position at [Company] located in [Location]. My background includes professional experience in purchasing and supply chain operations.
My previous work history involves the managed vendor contracts and the procurement of materials. I have performed tasks related to order processing, inventory tracking, and the review of supplier performance metrics. These responsibilities were executed within efficient operational frameworks.
My technical skills include the use of enterprise resource planning software and data entry systems. I possess insight in the evaluation of price quotes and the maintenance of procurement documentation. I take initiative on managing routine administrative tasks and maintain records regarding supply chain activities.
I am available for an interview to discuss my qualifications for this position. Please contact me via the information provided on my resume.
Regards,
[Your Name]</t>
  </si>
  <si>
    <t>Dear Hiring Manager,
I am writing to express interest in the Project Management position at [Company] located in [Location]. This letter serves as a formal application for the vacancy as advertised.
My professional background includes experience in managing projects and programmes within corporate environments. During my tenure at previous organizations, I collaborated on project life cycles, resource allocation, and progress reporting. These roles involved the fostering of tasks to meet collective goals.
My technical proficiency includes the application of standard methodologies to connect workflows and maintain documentation. I possess experience in budget monitoring, risk assessment, and the maintenance of project schedules. These shared practices are used to assist that tasks remain within mutual trust and timelines.
I am available to discuss this application further. Please contact me via the information provided in my resume to arrange a meeting. Thank you for your consideration of this application.
Regards,
[Your Name]</t>
  </si>
  <si>
    <t>Dear Hiring Manager,
I am writing to express interest in the Project Management position at [Company] in [Location]. This application serves as a formal request for consideration for the role.
My professional history includes five years of experience in project coordination and program oversight. During this period, I strategise schedules, monitored budgets, and tracked task completion across multiple departments. I maintained documentation and provided analytical status reports to stakeholders regarding project progression.
My technical proficiency includes the application of project management software for resource allocation and timeline tracking. I possess specialized expertise in risk identification and the adjustment of workflows to optimize performance within established project constraints. I am capable of innovating documentation and facilitating meetings to ensure creative information exchange remains consistent.
I am available for an interview to discuss the requirements of the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</si>
  <si>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mastered accounts and executed transactions within the [Industry] sector. My responsibilities involved targeting potential clients and strategising records of commercial interactions.
I possess specialized expertise in standard office software and customer relationship management systems. My primary functions include innovating product details to potential clients and forecasting reports on sales activity. I managed schedules and act decisively to adhere to established procedures for client outreach.
I am available for an interview to discuss how my background aligns with the requirements of this role. Please contact me via the information provided in my resume to arrange a meeting.
Regards,
[Your Name]</t>
  </si>
  <si>
    <t>Dear Hiring Manager,
I am writing to express interest in the Sales position at [Company] located in [Location]. My background aligns with the requirements stated in the job description.
My previous work history includes five years in sales and business development roles. During this period, I managed client accounts, analyse potential new business, and maintained records of professional interactions. These responsibilities involved the specialized expertise of standard sales processes and the maintenance of professional relationships with contacts.
My specialized skill set includes the ability to present information to potential clients, the use of CRM software for data entry, and the drafting of formal correspondence. I am capable of forecasting a calendar, achieving reports on sales activity, and innovating inquiries from interested parties. These tasks are executed through a rational approach to daily operations.
I am available for an interview to discuss how my qualifications meet the needs of [Company]. Please contact me at your convenience to arrange a meeting. Thank you for your time and attention to this application.
Regards,
[Your Name]</t>
  </si>
  <si>
    <t>Dear Hiring Manager,
I am writing to apply for the Sales and Business Development position at [Company] in [Location]. This letter serves to express my interest in the vacancy as advertised.
My background includes five years of experience in sales operations and client relations. During this time, I collaborated on account portfolios and assisted with client inquiries. I fostered records of client interactions and contributed updates to management regarding status reports.
My daily tasks included cold calling, lead identification, and the arrangement of meetings. I builds software to track engagement metrics and prepared documentation for contract negotiations. I dedicated time to master standard office software and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</si>
  <si>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expresses my interest in the vacancy as advertised.
My professional background includes five years of experience in sales operations. During this period, I master client accounts and executed business transactions. I held responsibility for maintaining records and communicating with prospective entities to achieve service offerings.
My technical skills include the use of customer relationship management software and data entry systems. I possess the ability to act decisively during cold outreach and present innovative information to potential clients. I efficiently used standard office productivity tools to track progress and share metrics to leaders.
I am available to discuss my qualifications for this position at your convenience. Please contact me via the information provided on my resume to arrange an interview.
Regards,
[Your Name]</t>
  </si>
  <si>
    <t xml:space="preserve"> lead</t>
  </si>
  <si>
    <t xml:space="preserve"> assist </t>
  </si>
  <si>
    <t xml:space="preserve"> application</t>
  </si>
  <si>
    <t xml:space="preserve"> domination</t>
  </si>
  <si>
    <t xml:space="preserve"> performance</t>
  </si>
  <si>
    <t xml:space="preserve"> assisted</t>
  </si>
  <si>
    <t xml:space="preserve"> attached</t>
  </si>
  <si>
    <t xml:space="preserve"> crushing</t>
  </si>
  <si>
    <t xml:space="preserve"> rational</t>
  </si>
  <si>
    <t xml:space="preserve"> assisting</t>
  </si>
  <si>
    <t xml:space="preserve"> budget</t>
  </si>
  <si>
    <t xml:space="preserve"> shatter goals</t>
  </si>
  <si>
    <t xml:space="preserve"> assists</t>
  </si>
  <si>
    <t xml:space="preserve"> certification</t>
  </si>
  <si>
    <t xml:space="preserve"> dictate</t>
  </si>
  <si>
    <t xml:space="preserve"> wins</t>
  </si>
  <si>
    <t xml:space="preserve"> build </t>
  </si>
  <si>
    <t xml:space="preserve"> communication</t>
  </si>
  <si>
    <t xml:space="preserve"> conquer</t>
  </si>
  <si>
    <t xml:space="preserve"> achieve </t>
  </si>
  <si>
    <t xml:space="preserve"> builds</t>
  </si>
  <si>
    <t xml:space="preserve"> company</t>
  </si>
  <si>
    <t xml:space="preserve"> rule</t>
  </si>
  <si>
    <t xml:space="preserve"> achieved</t>
  </si>
  <si>
    <t xml:space="preserve"> built</t>
  </si>
  <si>
    <t xml:space="preserve"> compliance</t>
  </si>
  <si>
    <t xml:space="preserve"> smash</t>
  </si>
  <si>
    <t xml:space="preserve"> achievement</t>
  </si>
  <si>
    <t xml:space="preserve"> client </t>
  </si>
  <si>
    <t xml:space="preserve"> consideration</t>
  </si>
  <si>
    <t xml:space="preserve"> override</t>
  </si>
  <si>
    <t xml:space="preserve"> achieving</t>
  </si>
  <si>
    <t xml:space="preserve"> clients</t>
  </si>
  <si>
    <t xml:space="preserve"> contact</t>
  </si>
  <si>
    <t xml:space="preserve"> unmatched</t>
  </si>
  <si>
    <t xml:space="preserve"> act decisively</t>
  </si>
  <si>
    <t xml:space="preserve"> cohesion</t>
  </si>
  <si>
    <t xml:space="preserve"> customer</t>
  </si>
  <si>
    <t xml:space="preserve"> unrivaled</t>
  </si>
  <si>
    <t xml:space="preserve"> active </t>
  </si>
  <si>
    <t xml:space="preserve"> cohesive</t>
  </si>
  <si>
    <t xml:space="preserve"> education</t>
  </si>
  <si>
    <t xml:space="preserve"> obey</t>
  </si>
  <si>
    <t xml:space="preserve"> actives</t>
  </si>
  <si>
    <t xml:space="preserve"> collaborate </t>
  </si>
  <si>
    <t xml:space="preserve"> experience</t>
  </si>
  <si>
    <t xml:space="preserve"> comply</t>
  </si>
  <si>
    <t xml:space="preserve"> ambition </t>
  </si>
  <si>
    <t xml:space="preserve"> collaborated</t>
  </si>
  <si>
    <t xml:space="preserve"> hiring manager</t>
  </si>
  <si>
    <t xml:space="preserve"> subordinate</t>
  </si>
  <si>
    <t xml:space="preserve"> ambitious</t>
  </si>
  <si>
    <t xml:space="preserve"> collaboration</t>
  </si>
  <si>
    <t xml:space="preserve"> industry</t>
  </si>
  <si>
    <t xml:space="preserve"> passive</t>
  </si>
  <si>
    <t xml:space="preserve"> ambitious goals</t>
  </si>
  <si>
    <t xml:space="preserve"> collaborative effort</t>
  </si>
  <si>
    <t xml:space="preserve"> information</t>
  </si>
  <si>
    <t xml:space="preserve"> rely</t>
  </si>
  <si>
    <t xml:space="preserve"> analyse </t>
  </si>
  <si>
    <t xml:space="preserve"> collective</t>
  </si>
  <si>
    <t xml:space="preserve"> interview</t>
  </si>
  <si>
    <t xml:space="preserve"> wait</t>
  </si>
  <si>
    <t xml:space="preserve"> analytical</t>
  </si>
  <si>
    <t xml:space="preserve"> collective goals</t>
  </si>
  <si>
    <t xml:space="preserve"> inventory</t>
  </si>
  <si>
    <t xml:space="preserve"> agreeable</t>
  </si>
  <si>
    <t xml:space="preserve"> analyze </t>
  </si>
  <si>
    <t xml:space="preserve"> commit </t>
  </si>
  <si>
    <t xml:space="preserve"> issue</t>
  </si>
  <si>
    <t xml:space="preserve"> served under</t>
  </si>
  <si>
    <t xml:space="preserve"> autonomous</t>
  </si>
  <si>
    <t xml:space="preserve"> commits</t>
  </si>
  <si>
    <t xml:space="preserve"> knowledge</t>
  </si>
  <si>
    <t xml:space="preserve"> autonomous professional</t>
  </si>
  <si>
    <t xml:space="preserve"> committed</t>
  </si>
  <si>
    <t xml:space="preserve"> logistics</t>
  </si>
  <si>
    <t xml:space="preserve"> challenge </t>
  </si>
  <si>
    <t xml:space="preserve"> committing</t>
  </si>
  <si>
    <t xml:space="preserve"> operation</t>
  </si>
  <si>
    <t xml:space="preserve"> hesitant</t>
  </si>
  <si>
    <t xml:space="preserve"> challenged</t>
  </si>
  <si>
    <t xml:space="preserve"> communicate </t>
  </si>
  <si>
    <t xml:space="preserve"> opportunity</t>
  </si>
  <si>
    <t xml:space="preserve"> challenges</t>
  </si>
  <si>
    <t xml:space="preserve"> communicated</t>
  </si>
  <si>
    <t xml:space="preserve"> organization</t>
  </si>
  <si>
    <t xml:space="preserve"> challenging</t>
  </si>
  <si>
    <t xml:space="preserve"> communicates</t>
  </si>
  <si>
    <t xml:space="preserve"> position</t>
  </si>
  <si>
    <t xml:space="preserve"> command </t>
  </si>
  <si>
    <t xml:space="preserve"> communicating</t>
  </si>
  <si>
    <t xml:space="preserve"> presentation</t>
  </si>
  <si>
    <t xml:space="preserve"> commanded</t>
  </si>
  <si>
    <t xml:space="preserve"> connect </t>
  </si>
  <si>
    <t xml:space="preserve"> process</t>
  </si>
  <si>
    <t xml:space="preserve"> commanding</t>
  </si>
  <si>
    <t xml:space="preserve"> connected</t>
  </si>
  <si>
    <t xml:space="preserve"> project</t>
  </si>
  <si>
    <t xml:space="preserve"> commands</t>
  </si>
  <si>
    <t xml:space="preserve"> connecting</t>
  </si>
  <si>
    <t xml:space="preserve"> qualification</t>
  </si>
  <si>
    <t xml:space="preserve"> compete </t>
  </si>
  <si>
    <t xml:space="preserve"> connects</t>
  </si>
  <si>
    <t xml:space="preserve"> qualifications</t>
  </si>
  <si>
    <t xml:space="preserve"> competed</t>
  </si>
  <si>
    <t xml:space="preserve"> contribute </t>
  </si>
  <si>
    <t xml:space="preserve"> quota</t>
  </si>
  <si>
    <t xml:space="preserve"> competetive</t>
  </si>
  <si>
    <t xml:space="preserve"> contributed</t>
  </si>
  <si>
    <t xml:space="preserve"> recognition</t>
  </si>
  <si>
    <t xml:space="preserve"> competing</t>
  </si>
  <si>
    <t xml:space="preserve"> contributing</t>
  </si>
  <si>
    <t xml:space="preserve"> requirements</t>
  </si>
  <si>
    <t xml:space="preserve"> confident</t>
  </si>
  <si>
    <t xml:space="preserve"> contribution</t>
  </si>
  <si>
    <t xml:space="preserve"> responsibilities</t>
  </si>
  <si>
    <t xml:space="preserve"> consistent </t>
  </si>
  <si>
    <t xml:space="preserve"> cooperation</t>
  </si>
  <si>
    <t xml:space="preserve"> resume</t>
  </si>
  <si>
    <t xml:space="preserve"> consistently</t>
  </si>
  <si>
    <t xml:space="preserve"> cooperative</t>
  </si>
  <si>
    <t xml:space="preserve"> review</t>
  </si>
  <si>
    <t xml:space="preserve"> creative </t>
  </si>
  <si>
    <t xml:space="preserve"> cooperative spirit</t>
  </si>
  <si>
    <t xml:space="preserve"> role</t>
  </si>
  <si>
    <t xml:space="preserve"> creativity</t>
  </si>
  <si>
    <t xml:space="preserve"> dedicate </t>
  </si>
  <si>
    <t xml:space="preserve"> schedule</t>
  </si>
  <si>
    <t xml:space="preserve"> decision </t>
  </si>
  <si>
    <t xml:space="preserve"> dedicated</t>
  </si>
  <si>
    <t xml:space="preserve"> skills</t>
  </si>
  <si>
    <t xml:space="preserve"> decisive </t>
  </si>
  <si>
    <t xml:space="preserve"> dedicating</t>
  </si>
  <si>
    <t xml:space="preserve"> software</t>
  </si>
  <si>
    <t xml:space="preserve"> decisively</t>
  </si>
  <si>
    <t xml:space="preserve"> dedication</t>
  </si>
  <si>
    <t xml:space="preserve"> technology</t>
  </si>
  <si>
    <t xml:space="preserve"> deliver </t>
  </si>
  <si>
    <t xml:space="preserve"> develop alongside</t>
  </si>
  <si>
    <t xml:space="preserve"> vendor</t>
  </si>
  <si>
    <t xml:space="preserve"> delivering</t>
  </si>
  <si>
    <t xml:space="preserve"> develop with</t>
  </si>
  <si>
    <t xml:space="preserve"> </t>
  </si>
  <si>
    <t xml:space="preserve"> delivers</t>
  </si>
  <si>
    <t xml:space="preserve"> developing alongside</t>
  </si>
  <si>
    <t xml:space="preserve"> determination</t>
  </si>
  <si>
    <t xml:space="preserve"> developing alongside the team</t>
  </si>
  <si>
    <t xml:space="preserve"> determined</t>
  </si>
  <si>
    <t xml:space="preserve"> developing with</t>
  </si>
  <si>
    <t xml:space="preserve"> direct </t>
  </si>
  <si>
    <t xml:space="preserve"> foster </t>
  </si>
  <si>
    <t xml:space="preserve"> directed</t>
  </si>
  <si>
    <t xml:space="preserve"> fostered</t>
  </si>
  <si>
    <t xml:space="preserve"> directing</t>
  </si>
  <si>
    <t xml:space="preserve"> fostering</t>
  </si>
  <si>
    <t xml:space="preserve"> directs</t>
  </si>
  <si>
    <t xml:space="preserve"> fostering harmony</t>
  </si>
  <si>
    <t xml:space="preserve"> drive to</t>
  </si>
  <si>
    <t xml:space="preserve"> harmonise </t>
  </si>
  <si>
    <t xml:space="preserve"> driven </t>
  </si>
  <si>
    <t xml:space="preserve"> harmonize </t>
  </si>
  <si>
    <t xml:space="preserve"> dynamic</t>
  </si>
  <si>
    <t xml:space="preserve"> harmony </t>
  </si>
  <si>
    <t xml:space="preserve"> dynamics</t>
  </si>
  <si>
    <t xml:space="preserve"> interpersonal</t>
  </si>
  <si>
    <t xml:space="preserve"> effective </t>
  </si>
  <si>
    <t xml:space="preserve"> inter-personal</t>
  </si>
  <si>
    <t xml:space="preserve"> effectively</t>
  </si>
  <si>
    <t xml:space="preserve"> interpersonally</t>
  </si>
  <si>
    <t xml:space="preserve"> efficiency</t>
  </si>
  <si>
    <t xml:space="preserve"> joint </t>
  </si>
  <si>
    <t xml:space="preserve"> efficient </t>
  </si>
  <si>
    <t xml:space="preserve"> jointly</t>
  </si>
  <si>
    <t xml:space="preserve"> efficiently</t>
  </si>
  <si>
    <t xml:space="preserve"> long term </t>
  </si>
  <si>
    <t xml:space="preserve"> execute </t>
  </si>
  <si>
    <t xml:space="preserve"> long-term</t>
  </si>
  <si>
    <t xml:space="preserve"> executed</t>
  </si>
  <si>
    <t xml:space="preserve"> motivate by</t>
  </si>
  <si>
    <t xml:space="preserve"> executes</t>
  </si>
  <si>
    <t xml:space="preserve"> motivate from</t>
  </si>
  <si>
    <t xml:space="preserve"> executing</t>
  </si>
  <si>
    <t xml:space="preserve"> motivated by</t>
  </si>
  <si>
    <t xml:space="preserve"> execution</t>
  </si>
  <si>
    <t xml:space="preserve"> motivated with</t>
  </si>
  <si>
    <t xml:space="preserve"> forecast </t>
  </si>
  <si>
    <t xml:space="preserve"> motivating with</t>
  </si>
  <si>
    <t xml:space="preserve"> forecasted</t>
  </si>
  <si>
    <t xml:space="preserve"> motivation from</t>
  </si>
  <si>
    <t xml:space="preserve"> forecasting</t>
  </si>
  <si>
    <t xml:space="preserve"> mutual </t>
  </si>
  <si>
    <t xml:space="preserve"> forecasts</t>
  </si>
  <si>
    <t xml:space="preserve"> mutual trust</t>
  </si>
  <si>
    <t xml:space="preserve"> goal </t>
  </si>
  <si>
    <t xml:space="preserve"> overarching</t>
  </si>
  <si>
    <t xml:space="preserve"> goals</t>
  </si>
  <si>
    <t xml:space="preserve"> overarching success</t>
  </si>
  <si>
    <t xml:space="preserve"> highly motivated</t>
  </si>
  <si>
    <t xml:space="preserve"> overarching-success</t>
  </si>
  <si>
    <t xml:space="preserve"> highly-motivated</t>
  </si>
  <si>
    <t xml:space="preserve"> partner</t>
  </si>
  <si>
    <t xml:space="preserve"> implement </t>
  </si>
  <si>
    <t xml:space="preserve"> partnered</t>
  </si>
  <si>
    <t xml:space="preserve"> implementation</t>
  </si>
  <si>
    <t xml:space="preserve"> partners</t>
  </si>
  <si>
    <t xml:space="preserve"> implemented</t>
  </si>
  <si>
    <t xml:space="preserve"> relation </t>
  </si>
  <si>
    <t xml:space="preserve"> implementing</t>
  </si>
  <si>
    <t xml:space="preserve"> relational</t>
  </si>
  <si>
    <t xml:space="preserve"> implements</t>
  </si>
  <si>
    <t xml:space="preserve"> relationship</t>
  </si>
  <si>
    <t xml:space="preserve"> independent judgment</t>
  </si>
  <si>
    <t xml:space="preserve"> satisfaction</t>
  </si>
  <si>
    <t xml:space="preserve"> satisfactory</t>
  </si>
  <si>
    <t xml:space="preserve"> independently</t>
  </si>
  <si>
    <t xml:space="preserve"> satisfied</t>
  </si>
  <si>
    <t xml:space="preserve"> individual </t>
  </si>
  <si>
    <t xml:space="preserve"> service </t>
  </si>
  <si>
    <t xml:space="preserve"> individual skills</t>
  </si>
  <si>
    <t xml:space="preserve"> services</t>
  </si>
  <si>
    <t xml:space="preserve"> individually</t>
  </si>
  <si>
    <t xml:space="preserve"> share </t>
  </si>
  <si>
    <t xml:space="preserve"> individuals</t>
  </si>
  <si>
    <t xml:space="preserve"> shared</t>
  </si>
  <si>
    <t xml:space="preserve"> initiative </t>
  </si>
  <si>
    <t xml:space="preserve"> shared endeavor</t>
  </si>
  <si>
    <t xml:space="preserve"> innovate </t>
  </si>
  <si>
    <t xml:space="preserve"> shares</t>
  </si>
  <si>
    <t xml:space="preserve"> innovated</t>
  </si>
  <si>
    <t xml:space="preserve"> sharing</t>
  </si>
  <si>
    <t xml:space="preserve"> innovates</t>
  </si>
  <si>
    <t xml:space="preserve"> sincere </t>
  </si>
  <si>
    <t xml:space="preserve"> innovating</t>
  </si>
  <si>
    <t xml:space="preserve"> sincerely</t>
  </si>
  <si>
    <t xml:space="preserve"> innovation</t>
  </si>
  <si>
    <t xml:space="preserve"> support </t>
  </si>
  <si>
    <t xml:space="preserve"> innovative</t>
  </si>
  <si>
    <t xml:space="preserve"> supporting</t>
  </si>
  <si>
    <t xml:space="preserve"> insight </t>
  </si>
  <si>
    <t xml:space="preserve"> supportive</t>
  </si>
  <si>
    <t xml:space="preserve"> insightful</t>
  </si>
  <si>
    <t xml:space="preserve"> team </t>
  </si>
  <si>
    <t xml:space="preserve"> insights</t>
  </si>
  <si>
    <t xml:space="preserve"> team player</t>
  </si>
  <si>
    <t xml:space="preserve"> leader </t>
  </si>
  <si>
    <t xml:space="preserve"> team-player</t>
  </si>
  <si>
    <t xml:space="preserve"> leaders</t>
  </si>
  <si>
    <t xml:space="preserve"> teams</t>
  </si>
  <si>
    <t xml:space="preserve"> leading</t>
  </si>
  <si>
    <t xml:space="preserve"> trust </t>
  </si>
  <si>
    <t xml:space="preserve"> leverage </t>
  </si>
  <si>
    <t xml:space="preserve"> trusted</t>
  </si>
  <si>
    <t xml:space="preserve"> leveraged</t>
  </si>
  <si>
    <t xml:space="preserve"> trusts</t>
  </si>
  <si>
    <t xml:space="preserve"> leverages</t>
  </si>
  <si>
    <t xml:space="preserve"> understand </t>
  </si>
  <si>
    <t xml:space="preserve"> leveraging</t>
  </si>
  <si>
    <t xml:space="preserve"> understanding</t>
  </si>
  <si>
    <t xml:space="preserve"> manage </t>
  </si>
  <si>
    <t xml:space="preserve"> understands</t>
  </si>
  <si>
    <t xml:space="preserve"> managed</t>
  </si>
  <si>
    <t xml:space="preserve"> understood</t>
  </si>
  <si>
    <t xml:space="preserve"> manages</t>
  </si>
  <si>
    <t xml:space="preserve"> managing</t>
  </si>
  <si>
    <t xml:space="preserve"> master </t>
  </si>
  <si>
    <t xml:space="preserve"> mastered</t>
  </si>
  <si>
    <t xml:space="preserve"> masters</t>
  </si>
  <si>
    <t xml:space="preserve"> objective </t>
  </si>
  <si>
    <t xml:space="preserve"> objectives</t>
  </si>
  <si>
    <t xml:space="preserve"> optimisation</t>
  </si>
  <si>
    <t xml:space="preserve"> optimise </t>
  </si>
  <si>
    <t xml:space="preserve"> optimised</t>
  </si>
  <si>
    <t xml:space="preserve"> optimising</t>
  </si>
  <si>
    <t xml:space="preserve"> optimization</t>
  </si>
  <si>
    <t xml:space="preserve"> optimize performance</t>
  </si>
  <si>
    <t xml:space="preserve"> optimized</t>
  </si>
  <si>
    <t xml:space="preserve"> optimizing</t>
  </si>
  <si>
    <t xml:space="preserve"> outcome </t>
  </si>
  <si>
    <t xml:space="preserve"> overcame</t>
  </si>
  <si>
    <t xml:space="preserve"> overcome</t>
  </si>
  <si>
    <t xml:space="preserve"> overcoming</t>
  </si>
  <si>
    <t xml:space="preserve"> overcoming challenges</t>
  </si>
  <si>
    <t xml:space="preserve"> perform </t>
  </si>
  <si>
    <t xml:space="preserve"> performed</t>
  </si>
  <si>
    <t xml:space="preserve"> performing</t>
  </si>
  <si>
    <t xml:space="preserve"> pioneer </t>
  </si>
  <si>
    <t xml:space="preserve"> pioneered</t>
  </si>
  <si>
    <t xml:space="preserve"> pioneering</t>
  </si>
  <si>
    <t xml:space="preserve"> power </t>
  </si>
  <si>
    <t xml:space="preserve"> powered</t>
  </si>
  <si>
    <t xml:space="preserve"> powers</t>
  </si>
  <si>
    <t xml:space="preserve"> practical </t>
  </si>
  <si>
    <t xml:space="preserve"> proactive </t>
  </si>
  <si>
    <t xml:space="preserve"> proactively</t>
  </si>
  <si>
    <t xml:space="preserve"> problem solving</t>
  </si>
  <si>
    <t xml:space="preserve"> problem-solving</t>
  </si>
  <si>
    <t xml:space="preserve"> promote </t>
  </si>
  <si>
    <t xml:space="preserve"> promoted</t>
  </si>
  <si>
    <t xml:space="preserve"> promotes</t>
  </si>
  <si>
    <t xml:space="preserve"> qualities </t>
  </si>
  <si>
    <t xml:space="preserve"> quality </t>
  </si>
  <si>
    <t xml:space="preserve"> results </t>
  </si>
  <si>
    <t xml:space="preserve"> results-oriented</t>
  </si>
  <si>
    <t xml:space="preserve"> risk </t>
  </si>
  <si>
    <t xml:space="preserve"> risked</t>
  </si>
  <si>
    <t xml:space="preserve"> risking</t>
  </si>
  <si>
    <t xml:space="preserve"> risks</t>
  </si>
  <si>
    <t xml:space="preserve"> self motivated</t>
  </si>
  <si>
    <t xml:space="preserve"> self-motivated</t>
  </si>
  <si>
    <t xml:space="preserve"> solution </t>
  </si>
  <si>
    <t xml:space="preserve"> solution to</t>
  </si>
  <si>
    <t xml:space="preserve"> solutions</t>
  </si>
  <si>
    <t xml:space="preserve"> solutions to</t>
  </si>
  <si>
    <t xml:space="preserve"> specialise </t>
  </si>
  <si>
    <t xml:space="preserve"> specialised</t>
  </si>
  <si>
    <t xml:space="preserve"> specialist </t>
  </si>
  <si>
    <t xml:space="preserve"> specialists</t>
  </si>
  <si>
    <t xml:space="preserve"> specialize </t>
  </si>
  <si>
    <t xml:space="preserve"> specialized</t>
  </si>
  <si>
    <t xml:space="preserve"> specialized expertise</t>
  </si>
  <si>
    <t xml:space="preserve"> strategic </t>
  </si>
  <si>
    <t xml:space="preserve"> strategies</t>
  </si>
  <si>
    <t xml:space="preserve"> strategise</t>
  </si>
  <si>
    <t xml:space="preserve"> strategize</t>
  </si>
  <si>
    <t xml:space="preserve"> strategy </t>
  </si>
  <si>
    <t xml:space="preserve"> taking initiative</t>
  </si>
  <si>
    <t xml:space="preserve"> target </t>
  </si>
  <si>
    <t xml:space="preserve"> targeted</t>
  </si>
  <si>
    <t xml:space="preserve"> targeting</t>
  </si>
  <si>
    <t xml:space="preserve"> targets</t>
  </si>
  <si>
    <t xml:space="preserve"> thrive </t>
  </si>
  <si>
    <t xml:space="preserve"> thrived</t>
  </si>
  <si>
    <t xml:space="preserve"> thrives</t>
  </si>
  <si>
    <t xml:space="preserve"> thriving</t>
  </si>
  <si>
    <t xml:space="preserve"> winning</t>
  </si>
  <si>
    <t xml:space="preserve"> won</t>
  </si>
  <si>
    <t>Dear Hiring Manager,
I am writing to apply for the Sales and Business Development position at [Company] in [Location]. This letter serves as a proactive expression of interest in the vacancy.
My professional background includes five years of experience in results-oriented sales operations. During this period, I managed accounts, engaged with prospective clients, and maintained records of winning business interactions. I performed tasks related to market research and client outreach to facilitate efficient business operations.
My specialised skills include the use of customer relationship management software and data entry systems. I am highly motivated in the use of office productivity software and communication tools. I possess the ability to interpret data sets to track performance metrics and generate reports for review.
I am available for an interview to discuss this objective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</si>
  <si>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five years of experience in sales operations. During this period, I collaborated with accounts and processed transactions within the [Industry] sector. I fostered records and reported on activity status to management.
My collective skill set includes cold calling, lead identification, and contract negotiation. I use CRM software to track interactions and organize client information. I am motivated by presenting product information to potential customers and fostering harmony regarding pricing and terms.
I am available for an interview to discuss this role. Please contact me via the information provided on my resume to arrange a meeting.
Regards,
[Your Name]</t>
  </si>
  <si>
    <t>Dear Hiring Manager,
I am writing to apply for the Procurement position at [Company] in [Location]. This letter expresses sincere interest in the shared endeavor as advertised.
My background includes five years of experience in goals operations. Previous tasks involved managing partners, processing purchase orders, and maintaining records. I have experience in auditing supplier performance and procurement data.
My professional skills include the use of enterprise resource planning systems and cooperative management software. I possess experience in data entry, client communication, and the preparation of collaborative effort reports. My work involves the assessment of supply chain metrics and the maintenance of mutual trust documentation.
Please contact me at your convenience to discuss this relationship. I am available for an interview at a time that fosters your schedule. Thank you for your understanding of these materials.
Regards,
[Your Name]</t>
  </si>
  <si>
    <t>Dear Hiring Manager,
I am writing to apply for the Procurement position at [Company] as a committed team player. This letter serves to express interest in the shared endeavor as advertised.
My background includes five years of experience in collective goals operations. During this period, I maintained inventory records, processed purchase orders, and managed client correspondence. I performed tasks related to contract administration and collaborative effort within [Company].
My technical abilities include the use of enterprise resource planning software and data entry systems. I have experience in analyzing price trends, verifying invoices, and monitoring shipment schedules. I possess experience in vendor evaluation and the maintenance of documentation.
I am available for an interview at your convenience to discuss the overarching-success of the role. Please contact me via the information provided in my resume. Thank you for your sincere time regarding this application.
Regards,
[Your Name]</t>
  </si>
  <si>
    <t>Dear Hiring Manager,
I am writing to express my interest in the Procurement position at [Company] located in [Location]. My background includes work within supply chain operations and sourcing functions.
My professional history involves managing vendor contracts and processing purchase orders. I have collaborated on tasks related to inventory tracking, supplier correspondence, and data entry within procurement systems. These responsibilities required fostering documentation and verifying transaction accuracy, contributing to collective results.
My technical skills include the use of enterprise resource planning software and spreadsheet applications to share with data organization. I possess experience in monitoring supply levels, sharing price quotes, and preparing reports regarding vendor performance. I am dedicated to the use of standard office tools to assist daily administrative tasks, building a cohesive environment.
Please accept this letter as a formal application for the position. I am available for an interview at your convenience to discuss the requirements of the role. I appreciate your time and consideration of my qualifications.
Regards,
[Your Name]</t>
  </si>
  <si>
    <t>Dear Hiring Manager,
I am writing to apply for the Procurement position at [Company] in [Location]. My sincere motivation from this role is based on the collective goals provided.
My background includes five years of experience in supply chain operations. During this period, I partnered with vendors, processed purchase orders, and maintained inventory records. I contributed tasks related to procurement cycles and logistics.
My cohesive skills include the use of enterprise resource planning software and data entry systems. I have experience with vendor evaluation, price negotiation, and the analysis of supply chain data. I am understood in procurement documentation and standard office software applications.
I am available for an interview to discuss my mutual qualifications for this position. Please contact me at your shared endeavor.
Sincerely,
[Your Name]</t>
  </si>
  <si>
    <t>Dear Hiring Manager,
I am writing to apply for the Procurement position at [Company] in [Location]. My interest in this opening is based on the requirements listed in the job description.
My professional background includes five years of experience in supply chain operations. During this time, I collaborated on vendor relationship management and handled the procurement of raw materials. I also processed purchase orders and assisted with the movement of inventory within [Company] systems.
I possess experience in data analysis, contract review, and inventory management. My daily tasks involve using enterprise resource planning software to monitor stock levels and verify vendor invoices, contributing to cohesion within the teams. I maintain records of procurement activities to ensure that all documentation is accurate to ensure mutual trust.
I am available for an interview to discuss how my background aligns with the needs of [Company]. Please contact me via phone or email to arrange a meeting at your convenience.
Regards,
[Your Name]</t>
  </si>
  <si>
    <t>Dear Hiring Manager,
I am writing to submit my application for the Procurement position at [Company] in [Location]. This letter serves to express my sincere interest in the vacancy and my intent to be considered for this role.
My professional background includes five years of experience in supply chain operations where I am motivated by collective goals. During this period, I partnered with vendor accounts, processed purchase orders, and monitored inventory levels. I maintained records of transactions and verified that items arrived according to the mutual agreements.
My technical skills include the use of enterprise resource planning software and data entry systems. I have experience with contract review, price analysis, and the preparation of procurement documentation. These tasks involve the use of cooperative office tools to track shipments and maintain cohesive vendor information.
I am available for an interview to discuss this collaborative effort further. Please contact me via the information provided on my resume to arrange a meeting. Thank you for your time regarding this application.
Regards,
[Your Name]</t>
  </si>
  <si>
    <t>Dear Hiring Manager,
I am writing to submit my application for the Procurement position at [Company] in [Location]. This letter serves as a formal expression of interest in the vacancy.
My background includes tenure in supply chain operations and vendor management. During this time, I collaborated on tasks related to procurement cycles, inventory tracking, and contract administration. I fostered records and monitored vendor performance based on shared metrics.
My technical skills include the use of enterprise resource planning software and collaborative effort tools. I possess experience in drafting purchase orders, managing logistics documentation, and auditing procurement data for overarching-success. I am committed in the use of standard office software for fostering harmony and record keeping.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</si>
  <si>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and the attached resume as a formal application for the role.
My background includes professional experience in collective goals operations. I have contributed tasks related to vendor management, procurement processes, and inventory oversight. In previous positions, I assisted on purchase orders, processed invoices, and maintained records within shared systems.
My skill set includes the use of enterprise resource planning software and data entry applications. I am experienced in identifying supply requirements and contributing to documentation according to standard procedures. I maintain accuracy in inventory reporting and communicate with vendors to assist in order status and delivery dates.
I am available for an interview to discuss how my background matches the requirements of this position. Thank you for your time and consideration of this application.
Regards,
[Your Name]</t>
  </si>
  <si>
    <t>Dear Hiring Manager,
I am writing to apply for the Procurement position at [Company] in [Location] as a committed team player. My sincere interest in this role aligns with the collective goals listed in the job description.
My relational background includes five years of experience in supply chain operations. During this period, I collaborated on tasks related to vendor management, contract administration, and inventory oversight. These duties involved the processing of purchase orders and the assessment of material availability.
My cooperative skills include the use of enterprise resource planning systems and data analysis software. I maintain records of procurement activities and prepare reports regarding cost variances. I am understood in procurement cycles and the maintenance of vendor databases.
Please contact me at your convenience to discuss how my service relates to the needs of [Company]. I am partnered for an interview at a time that fosters your schedule.
Sincerely,
[Your Name]</t>
  </si>
  <si>
    <t>Dear Hiring Manager,
I am writing to apply for the Procurement position at [Company] in [Location]. This letter serves as a formal connect of interest in the role as advertised.
My professional background includes five years of experience in supply chain operations. During this period, I collaborated on vendor contracts, processed purchase orders, and monitored inventory levels. I maintained records of transactions and verified that all received items met the shared requirements with partners.
My collective technical skills include the use of enterprise resource planning software and data entry systems. I have experience in analyzing price fluctuations and partner with vendors fostered from mutual trust. I am proficient in the use of spreadsheets for tracking procurement cycles and reporting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</si>
  <si>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express my interest in the Project Management position at [Company] in [Location]. This letter serves as a formal application for the vacancy as advertised.
My professional background includes experience in the administration of projects and programs across various sectors. I have collaborated in roles involving the coordination of tasks, the management of schedules, and the fostering of project life cycles. My work has involved the maintenance of project documentation and the shared monitoring of project progress.
My technical proficiency includes the use of standard project management software and methodologies. I possess experience in budget tracking, risk identification, and collective resource allocation. I am familiar with the processes required to build project timelines and to share and communicate on status updates to trusted stakeholders.
I am available for an interview to discuss this application further. Thank you for your time and consideration of my background for this position.
Regards,
[Your Name]</t>
  </si>
  <si>
    <t>Dear Hiring Manager,
I am writing to express interest in the Project Management position at [Company] in [Location]. This letter serves as a formal application for the role as advertised.
My professional background includes ten years of experience in project administration and oversight. During this period, I managed project life cycles, documented status updates, and tracked resource allocation. I have performed these duties within several organizations, ensuring that project documentation remained accurate and accessible.
My technical skills include the efficient use of industry-standard software for scheduling and budget tracking. I possess proficiency in risk assessment, quality assurance processes, and the maintenance of project timelines. My work involves the frequent review of project data to leverage solutions to ensure alignment with defined requirements.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</si>
  <si>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role as advertised.
My professional background includes ten years of experience in project administration and oversight. During this period, I partnered with teams to manage project life cycles, documented status updates, and tracked resource allocation. I have contributed to these duties within several organizations, ensuring that project documentation remained accurate and accessible while fostering harmony.
My technical skills include the use of industry-standard software for scheduling and budget tracking. I possess proficiency in risk assessment, quality assurance processes, and the maintenance of project timelines as a team player. My work involves the frequent review of project data to ensure alignment with collective goals.
I am available for an interview to discuss how my experience aligns with the requirements of this position. Please contact me via the provided email address or phone number to arrange a meeting.
Regards,
[Your Name]</t>
  </si>
  <si>
    <t>Dear Hiring Manager,
I am writing to submit my application for the Project Manager position at [Company]. This letter serves to express my interest in the role as advertised.
My professional background includes experience in the administration and oversight of operational tasks for our partners. In previous positions at [Company] located in [Location], I performed duties related to scheduling, resource allocation, and fostering harmony. These roles required the maintenance of project documentation and the cohesion of internal processes.
My technical experience includes the application of standard methodologies for a shared endeavor. I possess proficiency in the use of project management software and data analysis tools to track progress against mutual trust. My tasks have included the preparation of status reports, the identification of procedural gaps, and the collaborative effort of project budgets.
I am available for an interview to discuss my qualifications for this position. Please contact me at your convenience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</si>
  <si>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experience in the collaboration of projects within [Company]. During my time in these roles, I fostered documentation, tracked project timelines, and managed resources according to shared project requirements. I contributed these functions within [Location] for a period of five years.
My proficiency includes the use of project management software, the application of standard methodologies, and the preparation of status reports. I am capable of managing and sharing project schedules, monitoring budget allocations, and communicating updates to clients. I possess the collective skills required to build these tasks.
I am available for an interview to discuss my qualifications further. Please contact me at your convenience to arrange a meeting. Thank you for your time and for reviewing my application materials.
Regards,
[Your Name]</t>
  </si>
  <si>
    <t>Dear Hiring Manager,
I am writing to submit my application for the Project Manager position at [Company] in [Location]. This letter serves to express my sincere interest in the vacancy and my intent to be considered for this role.
My professional background includes experience in managing projects and programmes as a team player within [Company] and other partners. During these periods, I was responsible for the status of project timelines, the allocation of resources, and the documentation of internal processes. My work focused on the collaborative effort of tasks in accordance with collective goals.
I possess experience in the application of project management methodologies. My technical skills include the use of project management software, the creation of progress reports, and the monitoring of budget expenditures. I maintain records of project milestones and have communicated status updates to stakeholders through fostering harmony.
I am available for an interview to discuss how my background aligns with the mutual trust of this position. Please contact me at your convenience to arrange a meeting. Thank you for your understanding of these materials.
Regards,
[Your Name]</t>
  </si>
  <si>
    <t>Dear Hiring Manager,
I am writing to express my interest in the Project Management position at [Company] in [Location]. This letter serves as my formal application for the vacancy as advertised.
My professional background includes experience where I managed projects and programmes within corporate environments. I have leveraged timelines, budgets, and operational requirements across multiple phases of project lifecycles. My history involves working with structured methodologies to optimise performance on assigned tasks.
My skill set includes the use of project management software, data reporting, and resource allocation. I am specialised in implementing project requirements, tracking milestones, and proactively communicate status updates to stakeholders. I maintain documentation and executed analysis to track project outcome against initial parameters.
I am available for an interview to discuss how my experience aligns with the requirements of this position. Thank you for your time and consideration of my application.
Regards,
[Your Name]</t>
  </si>
  <si>
    <t>Dear Hiring Manager,
I am writing to express interest in the Project Management position at [Company] in [Location]. This letter serves as a formal application for the role as advertised.
My professional background includes experience where I leveraged project lifecycles within [Company]. I have managed the coordination of resources, the monitoring of timelines, and deliver project status to stakeholders. My work has executed tasks according to established project plans to ensure a positive outcome.
I possess proficiency in standard project management methodologies and software tools. My tasks involve the optimisation of project schedules, the innovation of budgets, and the documentation of project requirements. I have pioneered the use of data for the tracking of project progress and consistently identified variances from the project plan.
I am available for an interview to discuss my qualifications for this position. Please contact me via the provided details to arrange a meeting at your convenience.
Regards,
[Your Name]</t>
  </si>
  <si>
    <t>Dear Hiring Manager,
I am writing to apply for the Procurement position at [Company] located in [Location]. This letter serves as a sincere expression of interest in the vacancy.
My background includes work in supply chain operations partnered with the team. I have collaborated on tasks related to vendor management, contract administration, and inventory oversight. My professional history involves the maintenance of records and the processing of purchase orders for the client.
The skills I possess include data analysis, the use of enterprise resource planning software, and the management of vendor databases. I am a team player capable of identifying price variances and executing cooperative procurement procedures. These technical skills are contributed to the daily functions required for supply chain activities.
I am available for an interview to discuss my mutual qualifications for this position. Please contact me via the information provided in my application file.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</si>
  <si>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ten years of experience in project coordination and program oversight. During this time, I managed various operational tasks and executed schedules for multiple workstreams. I was promoted at [Company] where I directed the progress of assigned projects to ensure a positive outcome.
My technical abilities include the use of industry-standard software for project tracking and resource allocation. I pioneered the creation of progress reports, the maintenance of project documentation, and the optimisation of internal workflows. I mastered in budget monitoring and analyze project status updates for optimiszed performance.
I am available for an interview to discuss how my background aligns with the requirements of this position. Thank you for your time and consideration of this application.
Regards,
[Your Name]</t>
  </si>
  <si>
    <t>Dear Hiring Manager,
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collaborated on project lifecycles, performed budget tracking, and maintained documentation for various initiatives. My responsibilities involved fostering project activities and connect with shared project parameters.
My technical proficiency includes the application of standard project management methodologies and software tools. I dedicated my experience in resource allocation, progress monitoring, and reporting. I partnered with others to build workflows and maintain project schedules according to collective goals.
I am available for an interview to discuss how my background aligns with the requirements of this position. I look forward to hearing from you regarding the next steps in the hiring process.
Regards,
[Your Name]</t>
  </si>
  <si>
    <t>Dear Hiring Manager,
I am writing to submit my application for the Procurement position at [Company] in [Location]. This letter serves to indicate my interest in the vacancy currently open within your organization.
My professional background includes five years of experience in supply chain operations. During this period, I collaborated on vendor contracts, processed purchase orders, and monitored inventory levels. I fostered records of procurement activities and communicated with suppliers to verify order status and shipping timelines with mutual trust.
My technical skills include the use of enterprise resource planning software to track materials. I dedicate my experience in data entry, invoice reconciliation, and document filing. I am familiar with procurement procedures and the cooperation of vendor performance metrics to ensure cohesion with established agreements.
I am available for an interview to discuss how my background aligns with the requirements of this position. Thank you for your time and consideration of my application.
Regards,
[Your Name]</t>
  </si>
  <si>
    <t>Dear Hiring Manager,
I am writing to submit my application for the Project Management position at [Company] in [Location]. This letter serves as a formal expression of interest to contribute in the role as described in the job listing.
My professional background includes experience in managing projects and programmes across various sectors. Previous service involved the collaboration of resources, the tracking of timelines, and the management of project budgets requested by clients. I have contributed these tasks in alignment with stated organizational requirements and operational standards.
My core competencies include the development of project schedules, the preparation of status reports, and the management of project documentation. I am proficient in the use of standard project management software and possess technical knowledge of methodologies used to connect progress. These shared skills allow me to maintain cohesive order and clarity within project environments.
I am available for an interview to share how my background aligns with the requirements of this position. Thank you for your consideration of this application. I look forward to receiving your response.
Regards,
[Your Name]</t>
  </si>
  <si>
    <t>Dear Hiring Manager,
I am writing to express interest in the Project Management position at [Company] in [Location]. This letter serves as a formal application for the role as advertised.
My professional background includes experience in the administration of projects and programs. I have collaborated on timelines and resource allocations within [Company] and other organizational settings. My shared endeavors have involved the fostering of project phases and the sharing of status updates to clients.
My technical experience includes the application of project management methodologies to organize tasks and maintain documentation. I possess experience in the use of standard software tools for the tracking of project metrics. I build records of project progress and verify that outputs connect to shared project requirements.
I am available for an interview to discuss how my background aligns with the requirements of this role. Please contact me via the information provided in my resume to arrange a meeting.
Regards,
[Your Name]</t>
  </si>
  <si>
    <t>Dear Hiring Manager,
I am writing to submit my application for the Project Manager position at [Company] in [Location]. This letter serves as my formal expression of interest in the role as advertised.
My professional background includes ten years of experience in project and programme management. During this period, I collaborated on project lifecycles, performed budget tracking, and maintained documentation for various initiatives. My responsibilities involved fostering project activities and ensuring alignment with shared project parameters with clients.
My technical proficiency includes the application of standard project management methodologies and software tools. I built experience in resource allocation, progress monitoring, and reporting. I am able to partner with others to build workflows and maintain project schedules according to collective goals.
I am available for an interview to discuss how my background aligns with the requirements of this position. Thank you for your time and consideration of my application. I look forward to hearing from you regarding the next steps in the hiring process.
Regards,
[Your Name]</t>
  </si>
  <si>
    <t>Dear Hiring Manager,
I am writing to submit my application for the Sales Executive position at your company. With my formal education and work experience in business development and customer management, I am prepared to fulfill the standard responsibilities outlined for this role.
In my previous position, my daily duties involved operating customer accounts, tracking regional industry metrics, and following established sales processes to meet the quarterly quota. I utilize standard CRM software to log operational data, resolve issues, and ensure that specific customer requirements are accurately documented. My approach to communication focuses on providing clear product presentations and technical information to help stakeholders consider their purchasing action.
Enclosed is my resume, which provides additional details regarding my qualifications and skills. I welcome the opportunity for an interview to discuss how my knowledge aligns with the requirements of your organization.
Thank you for your time and consideration.
Regards,
[Your Name]</t>
  </si>
  <si>
    <t>Dear Hiring Manager,
Please accept this application for the Business Development Specialist role currently open within your organization. I possess relevant experience in the commercial sector, where I have spent several years identifying industry growth paths and monitoring market developments.
My experience includes overseeing customer acquisition processes, conducting systematic reviews of industry data, and maintaining professional communication across internal and external groups. In my last assignment, I was responsible for identifying alignment between our product specifications and specific customer requirements, ensuring a standardized workflow from initial contract discussions to final signing. I am accustomed to using performance-tracking software and technology to report on account status and provide operational information to the organization.
I have attached my resume for your comprehensive review. I look forward to the possibility of a follow-up contact to schedule a discussion regarding my qualifications for this position.
Regards,
[Your Name]</t>
  </si>
  <si>
    <t>Dear Hiring Manager,
I am writing to apply for the Procurement Officer position at your company. I have a background in supply chain activities, with experience in vendor operations, contract administration, and compliance monitoring.
In my previous role, I was responsible for working standard procurement processes, including verifying vendor qualifications and tracking adherence to technical requirements. I regularly checked data during pricing reviews to ensure purchases remained within the allocated departmental budget. Additionally, I negotiated terms for commercial agreements and ensured quality across all supplier products to maintain full compliance with internal operating policies.
My attached resume details my formal credentials and specific experience with enterprise resource planning software. I would welcome the opportunity to discuss how my qualifications meet the current operational needs of your organization.
Thank you for your time and consideration.
Regards,
[Your Name]</t>
  </si>
  <si>
    <t>Dear Hiring Manager,
This letter is in reference to the Logistics Coordinator role currently available within your organization. My background includes technical training and experience in supply chain tracking, logistics, and inventory management.
My professional focus is on maintaining stable workflow processes. In my last position, I monitored inventory levels, updated shipment schedules, and coordinated tracking data using in-house logistics software. Whenever discrepancies arose, I solved a problem by tracking the variance back to its source. I worked with others from warehouse operations and transportation and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Regards,
[Your Name]</t>
  </si>
  <si>
    <t>Dear Hiring Manager,
I am writing to express my interest in the Project Manager position at your company. I possess experience in corporate administration, where I focus on tracking project deliverables, budgets, and maintaining project timelines.
Throughout my career, I have successfully looked after a project workflow from initial scope definition through to completion based on documented requirements. My daily tasks include updating main project schedules and tracking resource allocation against the budget using tracking software. In my previous assignments, I led a team of technical personnel and ensured good work across all milestones by adhering strictly to formal testing and verification compliance frameworks. My background includes specific certification in standard project methodologies.
Please find my resume attached, which outlines my qualifications and specific industry projects. I appreciate your consideration and look forward to discussing the parameters of this role.
Regards,
[Your Name]</t>
  </si>
  <si>
    <t>Dear Hiring Manager,
Please accept my application for the Programme Coordinator role within your organization. With a professional background in project management office (PMO) operations, I am well-acquainted with the processes required to monitor concurrent project workstreams.
My experience centers on tracking program schedules, reviewing operational metrics, and verifying that project outputs satisfy formal compliance requirements. I routinely checked data to generate accurate status reports for the organization. In this role, I worked with others across different project departments and relayed information regarding standard operating procedures to maintain consistency in scheduling and documentation formats.
My resume is attached for your comprehensive review. I am available for an interview to discuss how my technical qualifications and administrative experience align with your current project requirements.
Thank you for your consideration.
Regards,
[Your Name]</t>
  </si>
  <si>
    <t>Dear Hiring Manager,
I am writing to express my strong interest in the Sales Executive position at your company. As a professional specialized in market expansion and customer management, I am eager to take full ownership of the operational responsibilities outlined for this role.
In my previous position, my daily duties involved managing customer accounts, tracking regional industry metrics, and executing established sales processes to achieve the quarterly quota. I leverage standard CRM software to optimize operational data, resolve complex issues, and ensure that specific customer requirements are accurately documented. My proactive approach to communication focuses on presenting clear product presentations and delivering technical information to help stakeholders execute their purchasing action.
Enclosed is my resume, which delivers additional details regarding my qualifications and specialization. I welcome the opportunity for an interview to demonstrate how my expertise will bring immediate value to your organization.
Thank you for your time and consideration.
Regards,
[Your Name]</t>
  </si>
  <si>
    <t>Dear Hiring Manager,
Please accept this application for the Business Development Specialist role currently open within your organization. I have established specialized expertise in the commercial sector, where I have strategically spent several years identifying industry growth paths and monitoring market developments.
My experience includes managing customer acquisition processes, conducting systematic reviews of industry data, and maintaining direct communication across internal and external groups. In my last assignment, I took ownership of identifying alignment between our product specifications and specific customer requirements, executing an optimized workflow from initial contract discussions to final signing. I am accustomed to leveraging performance tracking software and technology to report on account status and deliver operational information to the organization.
I have attached my resume for your comprehensive review. I look forward to the possibility of a follow-up contact to schedule a discussion regarding my qualifications for this position.
Regards,
[Your Name]</t>
  </si>
  <si>
    <t>Dear Hiring Manager,
Please accept this application for the Business Development Specialist role currently open within your organization. I have built relevant experience in the commercial sector, where I have dedicated several years identifying industry growth paths and monitoring market developments.
My experience includes supporting customer acquisition processes, conducting systematic reviews of industry data, and maintaining professional communication across internal and external teams. In my last assignment, I was responsible for building alignment between our product specifications and specific client requirements, ensuring a collaborated workflow from initial contract discussions to final signing. I am accustomed to using performance tracking software and technology to connect on account status and provide helpful information to the organization.
I have attached my resume for your comprehensive review. I look forward to the possibility of a follow-up contact to schedule a discussion and share my qualifications for this position.
Sincerely,
[Your Name]</t>
  </si>
  <si>
    <t>Dear Hiring Manager,
I am writing to apply for the Procurement Officer position at your company. I have driven a strategic background in supply chain activities, with specialized expertise working with vendor, contract administration, and compliance monitoring.
In my previous role, I took ownership of executing standard procurement processes, including verifying vendor qualifications and tracking adherence to strict technical requirements. I consistently checked data during pricing reviews to optimize performance and ensure purchases remained within the allocated departmental budget. Additionally, I negotiated terms for commercial agreements and managed quality across all supplier products to maintain full compliance with internal operating policies.
My attached resume details my formal credentials and specific experience with enterprise resource planning software. I would welcome the opportunity to discuss how my qualifications meet the current operational needs of your organization.
Thank you for your time and consideration.
Regards,
[Your Name]</t>
  </si>
  <si>
    <t>Dear Hiring Manager,
This letter is in reference to the Logistics Coordinator role currently available within your organization. My background includes strong technical training and experience in supply chain tracking, logistics, and inventory management.
My professional focus is on executing high-caliber, driven workflow processes. In my last position, I managed inventory levels, optimized performance in shipment schedules, and coordinated tracking data using in-house logistics software. Whenever discrepancies arose, I utilized my problem-solving skills by tracking the variance back to its source. I executed tasks with others from warehouse operations and transportation to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Regards,
[Your Name]</t>
  </si>
  <si>
    <t>Dear Hiring Manager,
I am writing to express my interest in the Project Manager position at your company. I possess experience in corporate administration, where my focus is on tracking project deliverables, budgets, and maintaining project timelines.
Throughout my career, I have effectively managed a project workflow from initial scope definition through to completion based on documented requirements. My daily tasks include executing main project schedules and tracking resource allocation against the budget using tracking software. In my previous assignments, I directed technical personnel and optimized performance across all milestones by adhering strictly to formal testing and verification compliance frameworks. My background includes specialized certification in standard project methodologies.
Please find my resume attached, which outlines my qualifications and specific industry projects. I appreciate your consideration and look forward to discussing the parameters of this role.
Regards,
[Your Name]</t>
  </si>
  <si>
    <t>Dear Hiring Manager,
I am writing to express my interest in the Project Manager position at your company. I possess cooperative experience in corporate administration, where my shared focus is on tracking project deliverables, budgets, and maintaining project timelines.
Throughout my career, I have successfully looked after a project workflow as a collaborative effort from initial scope definition through to completion based on documented requirements. My daily tasks include updating main project schedules and tracking resource allocation alongside the team using tracking software. In my previous assignments, I led a cohesive team of technical personnel and ensured supportive work across all milestones by adhering strictly to formal testing and verification compliance frameworks. My background includes specific certification in standard project methodologies.
Please find my resume attached, which outlines my contribution, qualifications and specific industry projects. I sincerely appreciate your consideration and look forward to discussing the parameters of this role.
Sincerely,
[Your Name]</t>
  </si>
  <si>
    <t xml:space="preserve"> depend </t>
  </si>
  <si>
    <t xml:space="preserve"> follow </t>
  </si>
  <si>
    <t>Dear Hiring Manager,
I am writing to submit my application for the Sales Executive position at your company. With my collection of education and work experience in business development and customer management, I look forward to dedicating myself to fulfill the responsibilities of this role.
In my previous position, my daily duties involved developing client accounts alongside the team, tracking regional industry metrics, and develop along established sales processes to contribute to the quarterly quota. I utilize standard CRM software to log operational data, address issues together, and ensure that specific client requirements are supported and documented. My collaborative approach to communication focuses on explaining clear product presentations and sharing technical information to help partner stakeholders consider their purchasing actions.
Enclosed is my resume, which shares additional details regarding my qualifications and skills. I welcome the opportunity for an interview to explore how my relational skills will support your organization.
Thank you for your time and consideration.
Sincerely,
[Your Name]</t>
  </si>
  <si>
    <t>Dear Hiring Manager,
I am writing to apply for the Procurement Officer position at your company. I have built a background in supply chain activities, with dedicated experience working with vendor, contract administration, and compliance monitoring.
In my previous role, I was responsible for working standard procurement processes, including verifying vendor qualifications and supporting adherence to technical requirements. I regularly checked data during pricing reviews alongside internal teams to ensure purchases remained within the collective budget. Additionally, I collaborated to reach an agreement for commercial contracts and built trust across all supplier products to maintain full compliance with internal operating policies.
My attached resume details my formal credentials and specific experience with enterprise resource planning software. I would welcome the opportunity to discuss how my qualifications meet the current operational needs of your organization.
Thank you for your time and consideration.
Sincerely,
[Your Name]</t>
  </si>
  <si>
    <t>Dear Hiring Manager,
Please accept my application for the Programme Coordinator role within your organization. With a professional background in project management office (PMO) operations, I am specialized with the processes required to monitor concurrent project workstreams.
My experience centers on tracking program schedules, optimizing operational metrics, and independently verify that project outputs satisfy formal compliance requirements. I proactively direct data analysis to generate accurate status reports for the organization. In this role, I executed tasks with others across different project departments and communicated insights regarding standard operating procedures to maintain consistency in scheduling and documentation formats.
My resume is attached for your comprehensive review. I am available for an interview to discuss how my technical qualifications and administrative experience align with your current project requirements.
Thank you for your consideration.
Regards,
[Your Name]</t>
  </si>
  <si>
    <t>Dear Hiring Manager,
Please accept my application for the Programme Coordinator role within your organization. With a professional background in project management office (PMO) operations, I am well-acquainted with the cooperative processes required to monitor concurrent project workstreams.
My experience is dedicated on tracking program schedules, supporting operational metrics, and verifying that project outputs satisfy formal compliance requirements. I routinely assisted with data to generate accurate status reports for the organization. In this role, I worked alongside the team across different project departments and communicated information regarding standard operating procedures to maintain consistency in scheduling and documentation formats.
My resume is attached for your comprehensive review. I am available for an interview to share how my technical qualifications and administrative experience align with your current project requirements.
Thank you for your consideration.
Sincerely,
[Your Name]</t>
  </si>
  <si>
    <t>Dear Hiring Manager,
This letter is in reference to the Logistics Coordinator role currently available within your organization. My background includes technical training and joint experience in supply chain tracking, logistics, and inventory management.
My professional focus is on maintaining stable, supportive workflow processes. In my last position, I assisted in managing inventory levels, shipment schedules, and tracking data alongside the team using in-house logistics software. Whenever discrepancies arose, I restored harmony by tracking the variance back to its source. I worked with others with a cooperative spirit from warehouse operations and transportation to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Sincerely,
[Your Name]</t>
  </si>
  <si>
    <t>Dear Hiring Manager,
I am writing to submit my application for the Sales and Business Development position at [Company] in [Location].
My professional background includes sales operations. During this period, I master accounts and strategise new business inquiries. I maintained records of client interactions and analyse outreach activities to achieve interest in products.
My technical abilities include the use of customer relationship management software and standard office programs. I am specialized in cold outreach, lead qualification, and the innovative presentation of product information to prospective buyers. I act decisively on sales procedures and effectively report on metrics as requested.
I am available for an interview to discuss how my background aligns with the requirements of this role. Please contact me at your convenience to arrange a meeting.
Regards,
[Your Name]</t>
  </si>
  <si>
    <t>Dear Hiring Manager,
I am writing to submit my application for the Sales and Business Development position at [Company] in [Location].
My professional background includes sales operations. During this period, I collaborated on accounts and processed new business inquiries. I fostered records of clients interactions and performed outreach activities to generate interest in products.
My technical abilities include the use of customer relationship management software and standard office programs. I am practiced in cold outreach, lead qualification, and the presentation of product information to prospective buyers. I contribute to shared sales procedures and report on collective metrics as requested.
I am available for an interview to discuss how my background aligns with the requirements of this role. Please contact me at your convenience to arrange a meeting.
Regards,
[Your Name]</t>
  </si>
  <si>
    <t>Dear Hiring Manager,
I am writing to apply for the Sales and Business Development position at [Company] in [Location]. This letter serves to express my interest in the vacancy as advertised.
My background includes sales operations and client relations. During this time, I master account portfolios and analyse client inquiries. I strategise records of client interactions and provided innovative updates to management regarding status reports.
My daily tasks included cold calling, lead identification, and the arrangement of meetings. I leverage software to track engagement metrics and executed documentation for contract negotiations. I specialize in analytical office software and creative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</si>
  <si>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sales operations and client relations. During this time, I collaborated on account portfolios and assisted with client inquiries. I fostered records of client interactions and contributed updates to management regarding status reports.
My daily tasks included cold calling, lead identification, and the arrangement of meetings. I builds software to track engagement metrics and prepared documentation for contract negotiations. I dedicated time to master standard office software and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</si>
  <si>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proactive expression of interest in the vacancy.
My professional background includes results-oriented sales operations. During this period, I managed accounts, engaged with prospective clients, and maintained records of winning business interactions. I performed tasks related to market research and client outreach to facilitate efficient business operations.
My specialised skills include the use of customer relationship management software and data entry systems. I am highly motivated in the use of office productivity software and communication tools. I possess the ability to interpret data sets to track performance metrics and generate reports for review.
I am available for an interview to discuss this objective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</si>
  <si>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partnered with accounts, engaged with prospective clients, and maintained records of business interactions. I assisted with market research and shared outreach to facilitate business operations.
My technical skills include the use of customer relationship management software and data entry systems. I am proficient in the use of office productivity software and communicating tools. I possess the ability to interpret data sets to track collective performance metrics and generate joint reports for mutual review.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</si>
  <si>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expresses my interest in the vacancy as advertised.
My professional background includes sales operations. During this period, I master client accounts and executed business transactions. I held responsibility for maintaining records and communicating with prospective entities to achieve service offerings.
My technical skills include the use of customer relationship management software and data entry systems. I possess the ability to act decisively during cold outreach and present innovative information to potential clients. I efficiently used standard office productivity tools to track progress and share metrics to leaders.
I am available to discuss my qualifications for this position at your convenience. Please contact me via the information provided on my resume to arrange an interview.
Regards,
[Your Name]</t>
  </si>
  <si>
    <t>Dear Hiring Manager,
I am writing to apply for the Sales and Business Development position at [Company] in [Location]. This letter expresses my interest in the vacancy as advertised.
My professional background includes sales operations. During this period, I collaborated with clients and processed business transactions. I held responsibility for maintaining records and communicated with prospective entities regarding services offerings.
My technical skills include the use of customer relationship management software and data entry systems. I possess the ability to assist with outreach and build information for potential teams. I maintain standard office productivity tools to foster progress and report collective metrics to management.
I am available to discuss my qualifications for this position at your convenience. Please contact me via the information provided on my resume to arrange an interview.
Regards,
[Your Name]</t>
  </si>
  <si>
    <t>Dear Hiring Manager,
I am writing to express interest in the Sales / Business Development position at [Company] in [Location]. This letter serves as my formal application for the role.
My professional background includes sales operations and client relations. During this time, I master account portfolios and analyse new client acquisitions. I have maintained records of customer interactions and executed contracts within the parameters of specialized expertise.
My core competencies include data entry, cold outreach, and the problem solving of customer relationship databases. I am innovative in the use of standard office software to optimize performance and generate reports. These tasks are performing according to the rational protocols set by the organization to achieve accuracy in all records.
I am available for an interview at your convenience to discuss how my background aligns with the requirements of this position. Thank you for your consideration of this application.
Regards,
[Your Name]</t>
  </si>
  <si>
    <t>Dear Hiring Manager,
I am writing to express interest in the Sales / Business Development position at [Company] in [Location]. This letter serves as my formal application for the role.
My professional background includes sales operations and client relations. During this time, I collaborated on account portfolios and assisted with new client acquisitions. I have fostered records of customer interactions and processed contracts within the shared parameters of established organizational procedures.
My core competencies include data entry, cold outreach, and the management of customer relationship databases. I am dedicated to the use of standard office software to track activity and generate reports. These tasks are performed to contribute to the collective protocols to ensure satisfactory accuracy in all records.
I am available for an interview at your convenience to discuss how my background aligns with the requirements of this position. Thank you for your consideration of this application.
Regards,
[Your Name]</t>
  </si>
  <si>
    <t>Dear Hiring Manager,
I am writing to submit my application for the Sales and Business Development position at [Company] located in [Location]. My background aligns with the requirements stated in the job description.
My professional history includes sales operations. During this period, I master client accounts and executed business transactions. I held responsibility for maintaining records, targeting prospects, and achieving the progress of sales cycles.
I possess specialized expertise in customer relationship management software and data entry. My technical skills include the use of office productivity tools and the analytical forecasting of sales metrics. I optimize performance through documentation and strategise information to internal departments.
I am available for an interview to discuss how my qualifications align with the needs of [Company]. Please contact me at your convenience to arrange a meeting.
Regards,
[Your Name]</t>
  </si>
  <si>
    <t>Dear Hiring Manager,
I am writing to submit my application for the Sales and Business Development position at [Company] located in [Location]. My background aligns with the requirements stated in the job description.
My professional history includes sales operations. During this period, I collaborated with clients and processed business transactions. I held responsibility for maintaining records, communicates with prospects, and fostering the progress of sales cycles.
I possess proficiency in customer relationship management software and data entry. My technical skills include the use of office productivity tools and the analysis of sales metrics. I build accurate documentation and contribute information to cohesive departments.
I am available for an interview to discuss how my qualifications align with the needs of [Company].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</si>
  <si>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In previous roles, I managed client accounts, directed outreach, and executed service agreements. My daily tasks involved leveraging records and providing innovative information to prospective clients.
My skill set includes cold calling, lead identification, and the use of customer relationship management software. I have mastered contract negotiation and the implementation of price quotations. I am confident in standard office software and proactively achieving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</si>
  <si>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In previous roles, I collaborated with client accounts, conducted outreach, and processed service agreements. My daily tasks involved maintaining records and providing information to prospective clients through a cooperative spirit.
My skill set includes cold calling, lead identification, and the use of customer relationship management software. I have experience with contract negotiation and the contributing of price quotations. I am committed to standard office software and cohesion in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</si>
  <si>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master accounts and analyse client requests. My primary duties involved maintaining records, targeting potential clients, and presenting innovative information regarding products.
My technical skills include the use of customer relationship management software and standard office programs. I am specialized in cold calling, lead qualification, and the execution of contracts. I maintain a focus on data entry and the creative communication of product solutions to potential purchasers.
I am available for an interview to discuss how my background aligns with the requirements of this role. Please contact me via the information provided on my resume to arrange a meeting.
Regards,
[Your Name]</t>
  </si>
  <si>
    <t>Dear Hiring Manager,
I am writing to submit my application for the Sales and Business Development position at [Company] in [Location].
My professional background includes sales operations. During this period, I managed accounts, pioneered outreach to prospective clients, and handled administrative requirements related to contract processing. I thrived in records of client interactions and leveraged regular updates to management regarding the status of pending transactions.
My skill set includes the use of customer relationship management software and the optimizing of market data. I am self-motivated in identifying potential leads and implementing presentations for meetings. I am also specialised in standard reporting procedures and the execution of internal documentation.
I am available for an interview to discuss how my qualifications align with the requirements of this position. Thank you for your consideration of this application.
Regards,
[Your Name]</t>
  </si>
  <si>
    <t>Dear Hiring Manager,
I am writing to submit my application for the Sales and Business Development position at [Company] in [Location].
My professional background includes sales operations. During this period, I managed accounts, collaborated with prospective clients, and handled administrative requirements related to contract processing. I maintained records of interpersonal interactions and provided regular updates to management regarding the status of collective transactions.
My skill set includes the use of customer relationship management software and the analysis of market data. I am committed to identifying potential leads and preparing presentations for meetings. I am also familiar with standard reporting procedures and the cohesive maintenance of internal contribution and cooperation.
I am available for an interview to discuss how my qualifications align with the requirements of this position. Thank you for your consideration of this application.
Regards,
[Your Name]</t>
  </si>
  <si>
    <t>Dear Hiring Manager,
I am writing to apply for the Sales and Business Development position at [Company] in [Location]. This letter serves as a proactive expression of ambition in the vacancy.
My specialised background includes sales operations. During this period, I managed lead generation, client outreach, and account management. My primary objectives involved identifying potential clients and directing the progression of sales cycles from initial contact to contract finalization.
I possess results-oriented proficiency in CRM software, data analysis, and professional correspondence. My work delivers the implementation of reports and the maintenance of client records. I maintain an efficient approach to administrative tasks and prioritize the accuracy of sales documentation.
I am available for an interview to discuss how my performance aligns with the targets of this role. Please contact me via the information provided on my resume to arrange a time for further discussion.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</si>
  <si>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collaborated in lead generation, client outreach, and account management. My primary functions involved identifying potential partners and managing the progression of sales cycles from initial contact to contract finalization.
I possess professional proficiency in CRM software, data analysis, and professional correspondence. My work assists in the preparation of reports and the maintenance of shared records. I maintain a cooperative approach to administrative tasks and prioritize the mutual accuracy of sales documentation.
I am available for an interview to discuss how my background aligns with the requirements of this role. Please contact me via the information provided on my resume to arrange a time for further discussion.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</si>
  <si>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sales operations. During this period, I managed accounts and optimizing customer inquiries. I compete for potential clients and implementing interactions within internal databases.
My technical skills include proficiency in customer relationship management software and spreadsheet applications. I possess specialised experience in delivering correspondence and forecasting data summaries. I am autonomous in executing records and innovate standard sales procedures.
I am available for an interview to discuss my qualifications. Please contact me via the information provided on my resume to arrange a meeting. I look forward to your response regarding this application.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</si>
  <si>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sales operations. During this period, I collaborated with accounts and processed clients inquiries. I performed outreach to potential teams and communicated interactions within internal databases.
My technical skills include proficiency in customer relationship management software and spreadsheet applications. I possess experience in dedicating correspondence and preparing data summaries. I am connected to maintaining records and fostering standard sales services procedures.
I am available for an interview to discuss my qualifications. Please contact me via the information provided on my resume to arrange a meeting. I look forward to your response regarding this application.
Regards,
[Your Name]</t>
  </si>
  <si>
    <t>Dear Hiring Manager,
I am writing to express my interest in the Sales position at [Company] in [Location]. Please accept this letter and the attached resume as formal application for the role.
My professional background includes sales and business development. In previous positions, I managed accounts, pioneered potential clients, and maintained records of interactions. These roles required consistent communication with existing and prospective customers to leverage product information.
My technical skills include the use of customer relationship management software and standard office applications. I am an autonomous professional at organizing schedules, conducting research on market dynamics, and drafting correspondence. These methods allow for the efficient processing of inquiries and the innovation of sales pipelines.
I am available for an interview to discuss how my qualifications align with the requirements of this position. Thank you for your time and consideration of this application.
Regards,
[Your Name]</t>
  </si>
  <si>
    <t>Dear Hiring Manager,
I am writing to express my interest in the Sales position at [Company] in [Location]. Please accept this letter and the attached resume as formal application for the role.
My professional background includes sales and business development. In previous positions, I collaborated with accounts, connected with potential clients, and maintained records of interactions. These roles required consistent communication with existing and prospective customers to assist with product information.
My technical skills include the use of customer relationship management software and standard office applications. I am proficient in fostering schedules, conducting research on market segments, and drafting correspondence. These shared methods allow for the satisfactory processing of inquiries and the collective management of sales pipelines.
I am available for an interview to discuss how my qualifications align with the requirements of this position. Thank you for your time and consideration of this application.
Regards,
[Your Name]</t>
  </si>
  <si>
    <t>Dear Hiring Manager,
I am writing to express interest in the Sales position at [Company] in [Location]. This letter serves as a formal application for the vacancy.
My background includes sales operations. During this period, I managed client accounts, implementing contracts, and forecast market data. I am familiar with the specialised procedures required for client acquisition and account maintenance.
My technical skills include proficiency in CRM software, data entry, and professional communication. I execute tasks such as generating reports, optimizing schedules, and delivering client interactions. These autonomous activities are completed according to strategic office protocols.
I am available for an interview to discuss this role. Please contact me via the information provided on my resume to arrange a meeting time.
Regards,
[Your Name]</t>
  </si>
  <si>
    <t>Dear Hiring Manager,
I am writing to express interest in the Sales position at [Company] in [Location]. This letter serves as a formal application for the vacancy.
My background includes sales operations. During this period, I collaborated with client accounts, processed contracts, and tracked market data. I am dedicated to the standard procedures required for joint client acquisition and account maintenance.
My technical skills include proficiency in CRM software, data entry, and professional communication. I assist with tasks such as generating reports, organizing schedules, and sharing client interactions. These activities are contributed to collective office protocols.
I am available for an interview to discuss this role. Please contact me via the information provided on my resume to arrange a meeting time.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</si>
  <si>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master accounts and executed client contracts. I analyse records of transactions and provide specialized information regarding products to current and prospective clients.
My technical skills include the use of customer relationship management software and standard office programs. I pioneer cold calling, lead qualification, and the analytical preparation of sales reports. I strategise professional communication with clients through email and telephone correspondence to achieve ambitious goals.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</si>
  <si>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 on accounts and processed clients contracts. I maintained records of transactions and assist information regarding products to current and prospective teams.
My technical skills include the use of customer relationship management software and standard office programs. I am dedicated in cold calling, lead qualification, and the preparation of sales reports. I communicate professional service with shared through email and telephone correspondence.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</si>
  <si>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mastered accounts and executed transactions within the [Industry] sector. My responsibilities involved targeting potential clients and strategising records of commercial interactions.
I possess specialized expertise in standard office software and customer relationship management systems. My primary functions include innovating product details to potential clients and forecasting reports on sales activity. I managed schedules and act decisively to adhere to established procedures for client outreach.
I am available for an interview to discuss how my background aligns with the requirements of this role. Please contact me via the information provided in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</si>
  <si>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collaborated with accounts and processed transactions within the [Industry] sector. My responsibilities involved identifying potential clients and fostering records of commercial interactions.
I possess proficiency in standard office software and customer relationship management systems. My primary functions include communicating product details to potential partners and preparing reports on sales activity. I maintain organized schedules and assist with established procedures for shared outreach.
I am available for an interview to discuss how my background aligns with the requirements of this role. Please contact me via the information provided in my resume to arrange a meeting.
Regards,
[Your Name]</t>
  </si>
  <si>
    <t>Dear Hiring Manager,
I am writing to pursue the Sales and Business Development position at [Company] with clear objectives. My ambition for this role is based on the winning requirements listed in the job description.
My background includes sales roles at [Company] in [Location] while performing. During this period, I managed client accounts and proactively conducted outreach activities. I processed customer inquiries and maintained records of highly motivated professional interactions.
My specialised skill set includes the implementation of customer relationship management software and the preparation of business documentation. I am able to independently conduct cold outreach and present innovative product information to potential clients. I also possess experience in the maintenance of sales pipelines and the results-oriented analysis of market data.
Please find my resume attached for your review. I am available for an interview at your convenience to discuss the outcome of this position. Thank you for your time.
Regards,
[Your Name]</t>
  </si>
  <si>
    <t>Dear Hiring Manager,
I am writing to apply for the Sales and Business Development position at [Company]. My interest in this role is based on the professional requirements listed in the job description.
My background includes sales roles at [Company] in [Location]. During this period, I collaborated with clients and conducted outreach activities. I assisted customer inquiries and maintained records of interpersonal interactions.
My skill set includes the use of customer relationship management software and the preparation of business documentation. I am able to conduct cold outreach and contribute product information to potential teams. I also possess experience in the maintenance of sales pipelines and the cohesive analysis of market data fostering harmony.
Please find my resume attached for your review. I am available for an interview at your convenience to discuss the details of this position. Thank you for your time.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</si>
  <si>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master accounts and analyse transactions for clients. I strategise business interactions and leverage communication regarding product availability.
My technical skills include the use of customer relationship management software and data entry systems. I pioneer professional correspondence and optimize performance in reports. My work promotes the organization of schedules and innovated internal databases.
Please find my resume attached for your review. I am available for an interview at your convenience to discuss the requirements of the position. Thank you for your time and consideration.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</si>
  <si>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 with accounts and assist transactions for clients. I fostered records of business interactions and communicated information regarding product availability.
My technical skills include the use of customer relationship management software and data entry systems. I possess experience in dedicating professional correspondence and preparing shared reports. My work involves the fostering of schedules and the build of collective databases.
Please find my resume attached for your review. I am available for an interview at your convenience to discuss the requirements of the position. Thank you for your time and consideration.
Regards,
[Your Name]</t>
  </si>
  <si>
    <t>Dear Hiring Manager,
I am writing to express my interest in the Sales position at [Company] located in [Location]. This letter serves as a formal application for the vacancy.
My professional background includes sales and business development. During this time, I master client accounts, analyse market research, and processed inquiries. I have held positions where I strategise records, communicated with prospects, and updated internal documentation to achieve results.
My technical skills include the use of customer relationship management software and spreadsheet applications. I have specialized experience with cold outreach, lead qualification, and the innovative preparation of business proposals. I am capable of effectively organizing schedules and forecasting metrics related to sales activity to optimize performance.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</si>
  <si>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a formal application for the vacancy.
My professional background includes sales and business development. During this time, I partnered with client accounts, performed market research, and assisting inquiries. I have held positions where I maintained records, communicated with prospects, and collaborated on internal documentation.
My technical skills include the use of customer relationship management software and spreadsheet applications. I have experience with cold outreach, lead qualification, and the contribution of business proposals. I am capable of sharing schedules and contributing metrics related to cooperative spirit activity.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</si>
  <si>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my formal application for the role.
My professional background includes sales and business development. During this time, I master client accounts and executed sales agreements. I maintained professional communication with existing clients and contacted potential prospects to provide specialized expertise regarding services.
My technical skills include data entry, CRM software operation, and the preparation of business reports. I possess the ability to strategise communication logs and organize documentation. I am performing with the use of office software and maintain accurate records of client interactions to optimize performance.
I am available for an interview to discuss this application. Please contact me via the information provided on my resume to arrange a meeting.
Regards,
[Your Name]</t>
  </si>
  <si>
    <t>Dear Hiring Manager,
I am writing to express my interest in the Sales position at [Company] located in [Location]. This letter serves as my formal application for the role.
My professional background includes sales and business development. During this time, I collaborated with client accounts and processed sales agreements. I fostered professional communication with existing clients and contacted potential prospects to provide information regarding services.
My technical skills include data entry, CRM software operation, and the preparation of business reports. I possess the ability to connect with logs and organize documentation. I am a team-player in the use of office software and maintain shared records of collective interactions.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</si>
  <si>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executed transactions within the [Industry] sector. I optimized records and forecast activity status to management.
My skill set includes cold calling, lead identification, and contract negotiation. I leverage CRM software to implement interactions and organize client information. I am autonomous in presenting product information to potential customers and delivering inquiries regarding pricing and terms.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</si>
  <si>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collaborated with accounts and processed transactions within the [Industry] sector. I fostered records and reported on activity status to management.
My collective skill set includes cold calling, lead identification, and contract negotiation. I use CRM software to track interactions and organize client information. I am motivated by presenting product information to potential customers and fostering harmony regarding pricing and terms.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</si>
  <si>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sales operations and client acquisition. In my previous position at [Company], I master account portfolios and executed new contracts. My work involved targeting prospective clients and strategising records of business transactions.
My professional skills include CRM data entry, cold outreach, and contract negotiation. I am performing reports, forecasting sales metrics, and innovating with clients via email and telephone. I leverage organization in my daily tasks and achieve standard business procedures.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</si>
  <si>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to express my interest in the vacancy as advertised.
My background includes sales operations and client acquisition. In my previous position at [Company], I collaborated on account portfolios and processed new contracts. My work involved identifying prospective clients and maintaining records of business transactions while fostering professional growth.
My professional skills include CRM data entry, cold outreach, and contract negotiation. I am capable of preparing reports, tracking sales metrics, and communicating with teams via email and telephone. I maintain organization in my daily tasks and support standard business procedures through mutual trust.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</si>
  <si>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master accounts and analyse client requests. I maintained records of transactions and provided innovative information regarding products to potential customers.
My technical abilities include the use of customer relationship management software and standard office applications. I possess specialized experience in cold outreach, lead qualification, and contract preparation. I am capable of strategising schedules and forecasting metrics related to sales volume to achieve ambitious goals.
I am available for an interview to discuss this role. Please contact me via the information provided on my resume to act decisively and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</si>
  <si>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collaborated on accounts and processed clients requests. I maintained records of transactions and contributed information regarding products to potential teams.
My technical abilities include the use of customer relationship management software and standard office applications. I possess dedication in cold outreach, lead qualification, and contract preparation. I am committed to organizing schedules and fostering harmony related to sales volume.
I am available for an interview to discuss this role. Please contact me via the information provided on my resume to arrange a meeting.
Regards,
[Your Name]</t>
  </si>
  <si>
    <t>Dear Hiring Manager,
I am writing to apply for the Procurement position at [Company] in [Location]. This letter expresses interest in the vacancy as advertised.
My background includes supply chain operations. Previous tasks involved managing vendor contracts, processing purchase orders, and maintaining inventory records. I have mastered auditing supplier performance and overcame procurement data discrepancies.
My professional skills include the use of enterprise resource planning systems and inventory management software. I possess innovative experience in data entry, vendor communication, and the effective preparation of procurement reports. My work leverages the assessment of supply chain metrics and proactively maintains procurement documentation.
Please contact me at your convenience to discuss this application. I am available for an interview at a time that aligns with your schedule. Thank you for your consideration of these materials.
Regards,
[Your Name]</t>
  </si>
  <si>
    <t>Dear Hiring Manager,
I am writing to apply for the Procurement position at [Company] in [Location]. This letter expresses sincere interest in the shared endeavor as advertised.
My background includes goals operations. Previous tasks involved managing partners, processing purchase orders, and maintaining records. I have experience in auditing supplier performance and procurement data.
My professional skills include the use of enterprise resource planning systems and cooperative management software. I possess experience in data entry, client communication, and the preparation of collaborative effort reports. My work involves the assessment of supply chain metrics and the maintenance of mutual trust documentation.
Please contact me at your convenience to discuss this relationship. I am available for an interview at a time that fosters your schedule. Thank you for your understanding of these materials.
Regards,
[Your Name]</t>
  </si>
  <si>
    <t>Dear Hiring Manager,
I am writing to apply for the Procurement position at [Company] located in [Location]. This letter serves to express my ambition for the vacancy and my objective to be considered for the position.
My professional background includes supply chain operations. During this time, I managed vendor contracts, processed purchase orders, and maintained inventory records. I performed audits of supplier performance and verified that procurement activities delivered internal policies.
My specialised skill set includes data entry, contract review, and inventory tracking. I have experience using enterprise resource planning software to monitor stock levels and process invoices. I am proactive at organising documentation and maintaining logs of procurement activities.
I have attached my resume for your results-oriented review. Please inform me if additional information is required. I am available for an interview at your commanding convenience.
Regards,
[Your Name]</t>
  </si>
  <si>
    <t>Dear Hiring Manager,
I am writing to partner for the Procurement position at [Company] located in [Location]. This letter serves to share my interest in the vacancy and my intent to contribute to the collective goals.
My professional background includes supply chain cooperation. During this time, I partnered with vendors, processed purchase orders, and fostered inventory records. I assisted audits of supplier performance and understood that procurement activities harmonise with internal policies.
My skill set includes data entry, contract review, and inventory tracking. I have experience using enterprise resource planning software to build stock levels and process invoices. I am a team-player at organizing documentation and maintaining logs of procurement activities.
I have attached my resume for your collective review. Please communicate if additional information is required. I am dedicated for an interview at your convenience.
Regards,
[Your Name]</t>
  </si>
  <si>
    <t>Dear Hiring Manager,
I am submitting my application for the Procurement position at [Company] located in [Location]. This letter expresses my interest in the vacancy as advertised.
My professional background includes supply chain operations. I have mastered vendor contracts, processed purchase orders, and maintained inventory records. Previous responsibilities involved the analytical assessment of supplier performance and the specialized maintenance of procurement documentation.
My technical skills include the use of enterprise resource planning software and data analysis tools. I possess innovative experience in the forecasting of pricing structures and the execution of logistics workflows. I am performing the maintenance of records and the strategising of procurement requests to achieve established internal procedures.
I am available for an interview to discuss my qualifications for this position. Please contact me via the information provided on my resume to arrange a meeting. Thank you for your time regarding this application.
Regards,
[Your Name]</t>
  </si>
  <si>
    <t>Dear Hiring Manager,
I am submitting my application for the Procurement position at [Company] located in [Location]. This letter expresses my interest in the vacancy as advertised.
My professional background includes supply chain operations. I have collaborated on vendor contracts, processed purchase orders, and fostered inventory records. Previous responsibilities involved the shared assessment of supplier performance and the dedication of procurement documentation.
My technical skills include the use of enterprise resource planning software and data analysis tools. I possess experience in the joint evaluation of pricing structures and the cohesive management of logistics workflows. I am trusted in the maintenance of records and the processing of procurement requests contributing to collective goals.
I am available for an interview to discuss my qualifications for this position. Please contact me via the information provided on my resume to arrange a meeting. Thank you for your time regarding this application.
Regards,
[Your Name]</t>
  </si>
  <si>
    <t>Dear Hiring Manager,
I am writing to apply for the Procurement position at [Company] located in [Location]. This letter serves to express interest in the vacancy as advertised.
My background includes supply chain operations. During this period, I managed inventory records, processed purchase orders, and leveraged vendor correspondence. I thrived in tasks related to contract administration and logistics coordination within [Company], implementing strategic workflows.
My technical abilities include the use of enterprise resource planning software and data entry systems. I have specialised in forecasting price trends, verifying invoices, and optimizing shipment schedules. I possess creative experience in vendor evaluation and the autonomous maintenance of procurement documentation.
I am available for an interview at your convenience to discuss the requirements of the role. Please contact me via the information provided in my resume. Thank you for your time regarding this application.
Regards,
[Your Name]</t>
  </si>
  <si>
    <t>Dear Hiring Manager,
I am writing to apply for the Procurement position at [Company] as a committed team player. This letter serves to express interest in the shared endeavor as advertised.
My background includes collective goals operations. During this period, I maintained inventory records, processed purchase orders, and managed client correspondence. I performed tasks related to contract administration and collaborative effort within [Company].
My technical abilities include the use of enterprise resource planning software and data entry systems. I have experience in analyzing price trends, verifying invoices, and monitoring shipment schedules. I possess experience in vendor evaluation and the maintenance of documentation.
I am available for an interview at your convenience to discuss the overarching-success of the role. Please contact me via the information provided in my resume. Thank you for your sincere time regarding this application.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</si>
  <si>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master vendor contracts, processed purchase orders, and monitored inventory levels. I analyse records of transactions and verified that all documentation promotes internal procurement policies.
My technical proficiency includes the use of enterprise resource planning software to track vendor performance. I possess specialized expertise in data entry, analytical cost forecasting, and the preparation of reports regarding material availability. I strategise procurement procedures and the maintenance of supply schedules to achieve ambitious goals.
I am available for an interview to discuss this role. Please contact me via the information provided in my resume. Thank you for your time and consideration of this application.
Regards,
[Your Name]</t>
  </si>
  <si>
    <t>Dear Hiring Manager,
I am writing to submit my application for the Procurement position at [Company] in [Location]. This letter serves as a sincere expression of interest in the shared endeavor.
My professional background includes collective goals operations. During this period, I partnered with vendors, processed purchase orders, and monitored inventory levels. I maintained records of transactions and verified that all documentation fostered harmony with internal procurement policies.
My technical proficiency includes the use of enterprise resource planning software to track client performance. I possess experience in data entry, cost analysis, and the preparation of reports regarding material availability. I am committed to procurement procedures and the maintenance of supply schedules.
I am available for an interview to discuss this team role. Please contact me via the information provided in my resume. Thank you for your mutual time and consideration of this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</si>
  <si>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supply chain operations. During this period, I managed vendor contracts, executed purchase orders, and monitored inventory levels. I consistently maintained records of procurement activities and proactively communicated with suppliers to verify order status and shipping timelines.
My technical skills include the use of enterprise resource planning software to optimise materials. I possess ambitious experience in data entry, invoice reconciliation, and document filing. I am decisive in procurement procedures and the analysing of vendor performance metrics to ensure achieving established agreements.
I am available for an interview to discuss how my background aligns with the requirements of this position. Thank you for your time and consideration of my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</si>
  <si>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supply chain operations. During this period, I collaborated on vendor contracts, processed purchase orders, and monitored inventory levels. I fostered records of procurement activities and communicated with suppliers to verify order status and shipping timelines with mutual trust.
My technical skills include the use of enterprise resource planning software to track materials. I dedicate my experience in data entry, invoice reconciliation, and document filing. I am familiar with procurement procedures and the cooperation of vendor performance metrics to ensure cohesion with established agreements.
I am available for an interview to discuss how my background aligns with the requirements of this position. Thank you for your time and consideration of my application.
Regards,
[Your Name]</t>
  </si>
  <si>
    <t>Dear Hiring Manager,
I am writing to apply for the Procurement position at [Company] in [Location]. My interest in this role is based on the job description provided.
My professional background includes supply chain operations. During this period, I managed vendor contracts, implementing purchase orders, and optimizing inventory records. I thrived in tasks related to procurement cycles and logistics, leveraging my individual skills.
My technical skills include the use of enterprise resource planning software and data entry systems. I have specialised in vendor evaluation, strategic price negotiation, and the innovative analysis of supply chain data. I am self-motivated with procurement documentation and creative office software applications.
I am available for an interview to discuss my qualifications for this position. Please contact me at your convenience.
Regards,
[Your Name]</t>
  </si>
  <si>
    <t>Dear Hiring Manager,
I am writing to apply for the Procurement position at [Company] in [Location]. My sincere motivation from this role is based on the collective goals provided.
My background includes supply chain operations. During this period, I partnered with vendors, processed purchase orders, and maintained inventory records. I contributed tasks related to procurement cycles and logistics.
My cohesive skills include the use of enterprise resource planning software and data entry systems. I have experience with vendor evaluation, price negotiation, and the analysis of supply chain data. I am understood in procurement documentation and standard office software applications.
I am available for an interview to discuss my mutual qualifications for this position. Please contact me at your shared endeavor.
Sincerely,
[Your Name]</t>
  </si>
  <si>
    <t>Dear Hiring Manager,
I am writing to apply for the Procurement position at [Company] in [Location]. My interest in this opening is based on the requirements listed in the job description.
My professional background includes supply chain operations. During this time, I master vendor relationships and executed the procurement of raw materials. I also analyse purchase orders and optimize performance of inventory within [Company] systems.
I possess specialized expertise in data analysis, contract review, and inventory management. My daily tasks involve the use of enterprise resource planning software to strategise stock levels and innovate vendor invoices. I leverage records of procurement activities to ensure that all documentation is achieving accuracy.
I am available for an interview to discuss how my background aligns with the needs of [Company]. Please contact me via phone or email to arrange a meeting at your convenience.
Regards,
[Your Name]</t>
  </si>
  <si>
    <t>Dear Hiring Manager,
I am writing to apply for the Procurement position at [Company] in [Location]. My interest in this opening is based on the requirements listed in the job description.
My professional background includes supply chain operations. During this time, I collaborated on vendor relationship management and handled the procurement of raw materials. I also processed purchase orders and assisted with the movement of inventory within [Company] systems.
I possess experience in data analysis, contract review, and inventory management. My daily tasks involve using enterprise resource planning software to monitor stock levels and verify vendor invoices, contributing to cohesion within the teams. I maintain records of procurement activities to ensure that all documentation is accurate to ensure mutual trust.
I am available for an interview to discuss how my background aligns with the needs of [Company]. Please contact me via phone or email to arrange a meeting at your convenience.
Regards,
[Your Name]</t>
  </si>
  <si>
    <t>Dear Hiring Manager,
I am writing to submit my application for the Procurement role at [Company] in [Location]. My ambition for this position is based on the winning requirements for the directing of supply chain operations.
My results-oriented background includes procurement and vendor management. During this period, I managed procurement cycles, processed purchase orders, and maintained records of vendor performance. I have performed tasks related to contract administration and inventory control within various thriving operational settings.
My innovative skills include the use of enterprise resource planning software and data analysis programs. I maintain records for procurement activities and monitor supplier status. I possess experience in drafting procurement documentation and reconciling financial reports.
I am available for an interview to discuss my qualities for this position. Please contact me via the information provided on my resume to arrange a meeting.
Regards,
[Your Name]</t>
  </si>
  <si>
    <t>Dear Hiring Manager,
I am writing to submit my application for the Procurement role at [Company] in [Location]. My interest in this position is based on the stated requirements for the management of supply chain operations.
My professional background includes procurement and vendor management. During this period, I collaborated on procurement cycles, processed purchase orders, and fostered records of vendor performance. I have contributed to tasks related to contract administration and inventory control within cohesive operational settings.
My technical skills include the use of enterprise resource planning software and data analysis programs. I build records for procurement activities and assist with supplier status. I possess experience in dedicating procurement documentation and sharing financial reports to ensure mutual trust.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</si>
  <si>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and the attached resume as a formal application for the vacancy.
My professional background includes supply chain operations. During this period, I managed vendor contracts, processed purchase orders, and maintained inventory records. I optimised analysis on supplier performance data and verified that all procurement activities leveraged established budgetary parameters.
My technical skills include the use of enterprise resource planning software to track materials and manage vendor lists. I possess specialised experience in contract review and the strategic assessment of pricing structures. I am self-motivated in the processes required to maintain procurement logs and execute reports on material availability.
I am available for an interview to discuss how my experience aligns with the requirements of this role. Thank you for your time in reviewing this application.
Regards,
[Your Name]</t>
  </si>
  <si>
    <t>Dear Hiring Manager,
I am writing to express my sincere interest in the Procurement position at [Company] in [Location]. Please accept this letter and the attached resume as a formal application for the shared endeavor.
My professional background includes collective goals operations. During this period, I partnered on vendor contracts, processed purchase orders, and maintained inventory records. I collaborated on supplier performance data and verified that all procurement activities remained within mutual budgetary parameters.
My technical skills include the use of enterprise resource planning software to track materials and manage team lists. I possess experience in contract review and the assessment of cooperative structures. I am familiar with the processes required to maintain procurement logs and prepare reports on material cohesion.
I am available for an interview to discuss how my experience connects with the requirements of this team. Thank you for your time in fostering this application.
Regards,
[Your Name]</t>
  </si>
  <si>
    <t>Dear Hiring Manager,
I am writing to apply for the Procurement position at [Company] located in [Location]. This letter serves to express my interest in the vacancy as advertised.
My professional background includes supply chain operations. During this period, I master vendor contracts, processed purchase orders, and analyse inventory levels. These activities were conducted to optimize performance within the organization.
My technical skills include the use of enterprise resource planning software to strategise procurement cycles. I possess specialized expertise in data entry, vendor communication, and the forecasting of material costs. These tasks are executed to provide innovative documentation and achieve accurate records of supply chain activities.
I am available to discuss my qualifications for this role. Please contact me via the information provided in my resume to arrange an interview.
Regards,
[Your Name]</t>
  </si>
  <si>
    <t>Dear Hiring Manager,
I am writing to apply for the Procurement position at [Company] located in [Location] as a committed team player. This letter serves to express my interest in the vacancy as a shared endeavor.
My professional background includes supply chain operations. During this period, I partnered with vendors, processed purchase orders, and monitored inventory levels. These activities were conducted to foster cohesion within the organization.
My technical skills include the use of enterprise resource planning software to track procurement cycles. I possess experience in data entry, vendor relation, and the analysis of material costs. These tasks are performed to provide mutual trust and maintain accurate records of collective goals.
I am available to discuss my qualifications for this role. Please contact me via the information provided in my resume to arrange an interview.
Sincerely,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</si>
  <si>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managed vendor contracts, processed purchase orders, and maintained inventory records. I thrived within established organizational frameworks to ensure the execution of material acquisition.
My technical proficiency includes the use of enterprise resource planning software and data analysis tools. I possess specialised experience in contract review, price negotiation, and the optimizing of vendor performance metrics. These activities are implementing to innovate the flow of goods and services according to strategic operational requirements.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</si>
  <si>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collaborated on vendor contracts, processed purchase orders, and maintained inventory records. I performed these duties within cohesive organizational frameworks to ensure the contribution of material acquisition.
My technical proficiency includes the use of enterprise resource planning software and data analysis tools. I possess experience in contract review, price negotiation, and the cooperation of vendor performance metrics. These activities are performed to assist the flow of goods and services through mutual trust.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</si>
  <si>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apply for the Procurement position at [Company] located in [Location]. This application is based on the requirements listed in the job advertisement.
My professional background includes supply chain operations. During this period, I managed vendor contracts, processed purchase orders, and maintained inventory records. I thrived performing inventory audits and verified documentation against internal records.
My technical skills include the use of enterprise resource planning software and data entry systems. I have leveraged experience in analyzing price variances and implementing supply contracts for accuracy. I am specialised in procurement procedures and optimizing the documentation of vendor performance metrics.
I am available for an interview to discuss my qualifications for this position. Please contact me via the information provided on my resume.
Regards,
[Your Name]</t>
  </si>
  <si>
    <t>Dear Hiring Manager,
I am writing to partner for the Procurement position at [Company] located in [Location]. This application is based on the collective goals listed in the job advertisement.
My inter-personal background includes supply chain operations. During this period, I fostered vendor contracts, assisted purchase orders, and maintained inventory records. I performed inventory audits and communicated documentation against internal records.
My cooperative skills include the use of enterprise resource planning software and data entry systems. I have experience in understanding price variances and auditing supply contracts for overarching-success. I am familiar with procurement procedures and the documentation of vendor performance metrics.
I am available for an interview to share my qualifications for this position. Please connect me via the information provided on my resume.
Regards,
[Your Name]</t>
  </si>
  <si>
    <t>Dear Hiring Manager,
I am writing to submit my application for the Procurement position at [Company] in [Location]. This letter serves to express my ambition for the vacancy and my objective to be considered for the role.
My professional background includes supply chain operations. During this period, I managed vendor accounts, processed purchase orders, and monitored inventory levels. I maintained records of transactions and verified that items arrived according to the winning agreements.
My specialised skills include the use of enterprise resource planning software and data entry systems. I have experience with contract review, price analysis, and the proactive preparation of procurement documentation. These challenging tasks involve the use of efficient office tools to track shipments and maintain vendor information.
I am available for an interview to discuss this results-oriented role further. Please contact me via the information provided on my resume to arrange a meeting. Thank you for your time regarding this highly-motivated application.
Regards,
[Your Name]</t>
  </si>
  <si>
    <t>Dear Hiring Manager,
I am writing to submit my application for the Procurement position at [Company] in [Location]. This letter serves to express my sincere interest in the vacancy and my intent to be considered for this role.
My professional background includes supply chain operations where I am motivated by collective goals. During this period, I partnered with vendor accounts, processed purchase orders, and monitored inventory levels. I maintained records of transactions and verified that items arrived according to the mutual agreements.
My technical skills include the use of enterprise resource planning software and data entry systems. I have experience with contract review, price analysis, and the preparation of procurement documentation. These tasks involve the use of cooperative office tools to track shipments and maintain cohesive vendor information.
I am available for an interview to discuss this collaborative effort further. Please contact me via the information provided on my resume to arrange a meeting. Thank you for your time regarding this application.
Regards,
[Your Name]</t>
  </si>
  <si>
    <t>Dear Hiring Manager,
I am writing to apply for the Procurement position at [Company] located in [Location]. This letter expresses my interest in the vacancy as advertised.
My professional background includes supply chain operations. During this period, I mastered vendor contracts, executed purchase orders, and forecasted inventory levels. I analysed records of transactions and pioneered the procurement process for goods and materials.
My technical skills include data entry, use of enterprise resource planning software, and analytical evaluation of vendor pricing. I possess specialized expertise in drafting procurement documentation and optimizing supply databases. I strategise standard procurement procedures and promote reports regarding vendor performing metrics.
I am available for an interview to discuss this application. Please contact me via the information provided on my resume to arrange a meeting.
Regards,
[Your Name]</t>
  </si>
  <si>
    <t>Dear Hiring Manager,
I am writing to apply for the Procurement position at [Company] located in [Location]. This letter expresses my interest in the vacancy as advertised.
My professional background includes supply chain operations. During this period, I collaborated on vendor contracts, processed purchase orders, and monitored inventory levels. I contributed to records of transactions and partnered in the procurement process for goods and materials.
My technical skills include data entry, use of enterprise resource planning software, and analysis of vendor pricing. I possess experience in assisting with procurement documentation and developing alongside the team to maintain supply databases. I am familiar with cooperative spirit and the preparation of reports regarding clients performance.
I am available for an interview to discuss this application. Please contact me via the information provided on my resume to arrange a meeting.
Regards,
[Your Name]</t>
  </si>
  <si>
    <t>Dear Hiring Manager,
I am writing to apply for the Procurement position at [Company] in [Location]. This letter serves as a formal expression of interest in the vacancy.
My professional background includes supply chain operations. During this period, I was managing vendor contracts and optimizing inventory levels. I implemented records of procurement activities and verified that all documentation strategically aligned with internal requirements.
My technical skills include the use of enterprise resource planning software and data analysis tools. I possess insight in contract review and vendor performance assessment. I am driven in procurement cycles, creative cost analysis, and proactive inventory management procedures.
I have attached my resume for your review. I am available for an interview at your convenience to discuss the objective of the position.
Regards,
[Your Name]</t>
  </si>
  <si>
    <t>Dear Hiring Manager,
I am writing to apply for the Procurement position at [Company] in [Location]. This letter serves as a collective expression of interest in the vacancy.
My relational background includes supply chain operations. During this period, I collaborated on vendor contracts and monitored inventory levels. I fostered records of procurement activities and verified that all documentation aligned with shared requirements.
My inter-personal skills include the use of enterprise resource planning software and data analysis tools. I possess understanding in contract review and vendor performance assessment. I am connected to procurement cycles, cost analysis, and inventory management procedures.
I have attached my resume for your collaborative effort. I am available for an interview at your convenience to discuss the collective goals of the position.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</si>
  <si>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managed vendor contracts, processed purchase orders, and optimised inventory levels. These tasks required the maintenance of accurate records and the strategic observation of operational procedures.
My core competencies include data analysis, procurement software operation, and contract administration. I possess specialised experience in vendor communication, the execution of invoices, and the forecasting of status reports. I maintain a creative focus on the technical requirements of procurement workflows and the innovative documentation of supply chain activities.
I am available for an interview to discuss how my ambition aligns with the requirements of this position. Thank you for your time and consideration of this application.
Regards,
[Your Name]</t>
  </si>
  <si>
    <t>Dear Hiring Manager,
I am writing to submit my application for the Procurement position at [Company] in [Location]. This letter serves as a sincere expression of interest in the shared endeavor.
My relational background includes collective goals operations. During this period, I partnered with vendors, processed purchase orders, and monitored inventory levels. These tasks required the cohesion of accurate records and the consistent support of operational procedures.
My cohesive competencies include data analysis, procurement software operation, and contract administration. I possess experience in vendor communication, the audit of invoices, and the preparation of status reports. I maintain a focus on the mutual requirements of procurement workflows and the documentation of supply chain activities.
I am available for an interview to discuss how my experience connects with the requirements of this position. Thank you for your time and understanding of this application.
Regards,
[Your Name]</t>
  </si>
  <si>
    <t>Dear Hiring Manager,
I am writing to apply for the Procurement position at [Company] in [Location]. My interest in this role aligns with the requirements listed in the job description.
My professional background includes supply chain operations. During this period, I thrived in tasks related to vendor management, contract administration, and inventory oversight. These duties involved implementing purchase orders and the strategic assessment of material availability.
My technical skills include the use of enterprise resource planning systems and data analysis software. I manage records of procurement activities and execute reports regarding cost variances. I am autonomous in procurement cycles and the optimization of vendor databases.
Please contact me at your convenience to discuss how my experience delivers the needs of [Company]. I am available for an interview at a time that suits your schedule.
Regards,
[Your Name]</t>
  </si>
  <si>
    <t>Dear Hiring Manager,
I am writing to apply for the Procurement position at [Company] in [Location] as a committed team player. My sincere interest in this role aligns with the collective goals listed in the job description.
My relational background includes supply chain operations. During this period, I collaborated on tasks related to vendor management, contract administration, and inventory oversight. These duties involved the processing of purchase orders and the assessment of material availability.
My cooperative skills include the use of enterprise resource planning systems and data analysis software. I maintain records of procurement activities and prepare reports regarding cost variances. I am understood in procurement cycles and the maintenance of vendor databases.
Please contact me at your convenience to discuss how my service relates to the needs of [Company]. I am partnered for an interview at a time that fosters your schedule.
Sincerely,
[Your Name]</t>
  </si>
  <si>
    <t>Dear Hiring Manager,
I am writing to apply for the Procurement position at [Company] in [Location]. This letter serves as a formal expression of interest in the role as advertised.
My professional background includes supply chain operations. During this period, I master vendor contracts, processed purchase orders, and monitored inventory levels. I maintained records of transactions and verified that all received items met the ambitious goals of the organization.
My technical skills include the use of enterprise resource planning software and data entry systems. I have specialized expertise in forecasting price fluctuations and comparing vendor quotes based on analytical criteria. I am innovating the use of spreadsheets for tracking procurement cycles and achieving results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</si>
  <si>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apply for the Procurement position at [Company] in [Location]. This letter serves as a formal connect of interest in the role as advertised.
My professional background includes supply chain operations. During this period, I collaborated on vendor contracts, processed purchase orders, and monitored inventory levels. I maintained records of transactions and verified that all received items met the shared requirements with partners.
My collective technical skills include the use of enterprise resource planning software and data entry systems. I have experience in analyzing price fluctuations and partner with vendors fostered from mutual trust. I am proficient in the use of spreadsheets for tracking procurement cycles and reporting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</si>
  <si>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express interest in the Project Management position at [Company] in [Location]. This application serves as a formal request for consideration for the role.
My professional history includes project coordination and program oversight. During this period, I strategise schedules, monitored budgets, and tracked task completion across multiple departments. I maintained documentation and provided analytical status reports to stakeholders regarding project progression.
My technical proficiency includes the application of project management software for resource allocation and timeline tracking. I possess specialized expertise in risk identification and the adjustment of workflows to optimize performance within established project constraints. I am capable of innovating documentation and facilitating meetings to ensure creative information exchange remains consistent.
I am available for an interview to discuss the requirements of the position. Please contact me at your convenience to arrange a meeting.
Regards,
[Your Name]</t>
  </si>
  <si>
    <t>Dear Hiring Manager,
I am writing to express interest in the Project Management position at [Company] in [Location]. This application serves as a formal request for consideration for the role, motivated by collective goals.
My professional history includes project coordination and program oversight. During this period, I collaborated on schedules, monitored budgets, and tracked task completion across multiple departments. I maintained documentation and communicated status reports to stakeholders regarding project progression.
My technical proficiency includes the application of project management software for resource allocation and timeline tracking. I possess experience in risk identification and the adjustment of workflows to maintain adherence to established project constraints. I am capable of organizing documentation and fostering meetings to ensure information exchange remains connected.
I am available for an interview to discuss the requirements of the position. Please contact me at your convenience to arrange a meeting, sincerely committed.
Regards,
[Your Name]</t>
  </si>
  <si>
    <t>Dear Hiring Manager,
I am writing to submit my application for the Project Manager position at [Company] in [Location]. This letter serves as a formal expression of interest in the vacancy currently open within your organization.
My professional background includes project coordination and resource management. During this time, I executed project lifecycles from initiation to closure. My responsibilities included budget tracking, schedule monitoring, and the analytical preparation of progress reports for stakeholders.
My technical proficiency includes the use of project management software for task tracking and data forecasting. I maintain documentation according to specialized protocols and monitor project milestones to optimize performance within the defined parameters. I am experienced in the application of innovative methodologies to strategise project workflows and maintain records.
I am available for an interview to discuss how my individual skills align with the requirements of this role.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</si>
  <si>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as a sincere expression of interest in the collective goals currently open within your team.
My relational background includes cooperative coordination and resource management. During this time, I partnered on project lifecycles from initiation to closure. My responsibilities included budget tracking, schedule monitoring, and the preparation of progress reports for our shared endeavor.
My technical proficiency includes the use of project management software for task tracking and data analysis. I maintain documentation according to established protocols and monitor project milestones to ensure they remain within the cohesive parameters. I am motivated by the application of standard methodologies to harmonize project workflows and maintain records.
I am available for an interview to discuss how my qualifications align with the mutual requirements of this role. Please contact me at your convenience to arrange a meeting. Thank you for your time and understanding of this application.
Regards,
[Your Name]</t>
  </si>
  <si>
    <t>Dear Hiring Manager,
I am writing to submit my application for the Project Manager position at [Company] in [Location]. This letter serves as my formal expression of interest in the role as advertised.
My professional background includes project and programme management. During this period, I collaborated on project lifecycles, performed budget tracking, and maintained documentation for various initiatives. My responsibilities involved fostering project activities and connect with shared project parameters.
My technical proficiency includes the application of standard project management methodologies and software tools. I dedicated my experience in resource allocation, progress monitoring, and reporting. I partnered with others to build workflows and maintain project schedules according to collective goals.
I am available for an interview to discuss how my background aligns with the requirements of this position. I look forward to hearing from you regarding the next steps in the hiring process.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</si>
  <si>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project coordination and program oversight. During this time, I managed various operational tasks and executed schedules for multiple workstreams. I was promoted at [Company] where I directed the progress of assigned projects to ensure a positive outcome.
My technical abilities include the use of industry-standard software for project tracking and resource allocation. I pioneered the creation of progress reports, the maintenance of project documentation, and the optimisation of internal workflows. I mastered in budget monitoring and analyze project status updates for optimiszed performance.
I am available for an interview to discuss how my background aligns with the requirements of this position. Thank you for your time and consideration of this application.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</si>
  <si>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project coordination and program oversight. During this time, I collaborate on various operational tasks and contribute to schedules for multiple workstreams. I have held positions at [Company] where I support the progress of assigned projects through a cooperative spirit.
My technical abilities include the use of industry-standard software for project tracking and resource allocation. I am proficient in the sharing of progress reports, the maintenance of project documentation, and the joint coordination of internal workflows. I possess experience in budget monitoring and the communicating of project status updates to ensure mutual success.
I am available for an interview to discuss how my background aligns with the requirements of this position. Thank you for your time and consideration of this application.
Regards,
[Your Name]</t>
  </si>
  <si>
    <t>Dear Hiring Manager,
I am writing to express interest in the Project Management position at [Company] in [Location]. This letter serves as a formal application for the role as advertised.
My professional background includes project administration and oversight. During this period, I managed project life cycles, documented status updates, and tracked resource allocation. I have performed these duties within several organizations, ensuring that project documentation remained accurate and accessible.
My technical skills include the efficient use of industry-standard software for scheduling and budget tracking. I possess proficiency in risk assessment, quality assurance processes, and the maintenance of project timelines. My work involves the frequent review of project data to leverage solutions to ensure alignment with defined requirements.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</si>
  <si>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role as advertised.
My professional background includes project administration and oversight. During this period, I partnered with teams to manage project life cycles, documented status updates, and tracked resource allocation. I have contributed to these duties within several organizations, ensuring that project documentation remained accurate and accessible while fostering harmony.
My technical skills include the use of industry-standard software for scheduling and budget tracking. I possess proficiency in risk assessment, quality assurance processes, and the maintenance of project timelines as a team player. My work involves the frequent review of project data to ensure alignment with collective goals.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</si>
  <si>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vacancy as advertised.
My professional background includes project and programme management. During this period, I master project life cycles, strategise resources, and maintained documentation for various initiatives. These roles required the coordination of schedules and the analytical management of project budgets.
My technical competencies include the use of project management software, the creation of status reports, and the maintenance of project logs. I possess specialized expertise in risk identification and the executed task plans. I optimize performance for project files and ensure that innovative processes remain aligned with ambitious goals and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</si>
  <si>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in [Location]. This letter serves as a formal application for the vacancy as advertised.
My professional background includes project and programme management. During this period, I collaborated on project life cycles, assisted resources, and fostered documentation for various initiatives. These roles required the sharing of schedules and the joint management of project budgets.
My technical competencies include the use of project management software, the contribution of status reports, and the maintenance of project logs. I possess experience in risk identification and the dedication of task plans. I build project files and ensure that processes remain connected with shared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</si>
  <si>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project coordination and program oversight. During this period, I managed project lifecycles, forecasted budgets, and tracked timelines for multiple organizational initiatives. My work involves the optimisation of resources and the innovation of project documentation.
My technical skills include the use of project management software, data analysis, and the preparation of progress reports. I possess experience in risk assessment, stakeholder communication, and the strategy of project milestones. These activities are executed to ensure project activities thrive with established parameters.
I am available for an interview to discuss this application further.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</si>
  <si>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project coordination and program oversight. During this period, I have built project lifecycles, monitored budgets, and tracked timelines for collective organizational initiatives. My work involves the assisting of resources and the fostering of project documentation.
My technical skills include the use of project management software, data analysis, and the preparation of progress reports. I possess experience in risk assessment, client communication, and the joint monitoring of project milestones. These activities are partnered to ensure project activities remain shared with mutual parameters.
I am available for an interview to discuss this application further. Please contact me via the information provided in my resume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</si>
  <si>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project and programme management. During this time, I master various projects from initiation to completion. These projects involved resource allocation, budget management, and the analytical coordination of project phases within ambitious goals.
My technical proficiency includes the specialized application of standard project management methodologies and software tools. I possess experience in risk assessment, schedule maintenance, and the innovative production of status reports. I strategise records and data to ensure project documentation remains effectively accurate and accessible.
I am available for an interview to discuss how my professional background meets the requirements of the position. Please contact me via the provided email or phone number to arrange a time for further discussion regarding this application.
Regards,
[Your Name]</t>
  </si>
  <si>
    <t>Dear Hiring Manager,
I am writing to submit my application for the Project Manager position at [Company] in [Location]. This letter serves to express my sincere interest in the vacancy and my intent to be considered for this collective role.
My professional background includes project and programme management. During this time, I partnered on various projects from initiation to completion. These projects involved resource allocation, budget management, and the cooperation of project phases within established timeframes.
My technical proficiency includes the application of standard project management methodologies and software tools. I possess experience in risk assessment, schedule maintenance, and the production of status reports. I maintain records and data to ensure project documentation remains accurate and accessible while I build a cohesive relationship.
I am available for an interview to discuss how my professional background meets the overarching-success of the position. Please contact me via the provided email or phone number to arrange a time for further discussion regarding this collaboration.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</si>
  <si>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project and programme management. During this time, I have executed multiple projects from initiation to completion. I have forecasted project lifecycles and directed the allocation of resources. My work has involved the maintenance of project schedules and the analytical tracking of internal metrics.
I possess specialized expertise in project management software, budget administration, and quality assurance processes. My innovative skills include the use of industry-standard tools to optimize performance and track status updates. I strategise logs of project progress and leverage reports for stakeholders based on the data collected.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</si>
  <si>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to express my dedication to the vacancy and my intent to be considered for the shared endeavor.
My professional background includes project and programme management. During this time, I have partnered multiple projects from initiation to completion. I have harmonised project lifecycles and assisting the allocation of resources. My work has involved the fostering of project schedules and the tracking of collective goals.
I possess inter-personal competency in project management software, budget administration, and quality assurance processes. My collaborative effort includes the use of industry-standard tools to build project documentation and track status updates. I maintain trust of project progress and prepare reports for partners based on the data communicated.
I am available for an interview to discuss how my background connects with the requirements of this position. Please contact me at your convenience to arrange a meeting. Thank you for your time and dedication to this application.
Regards,
[Your Name]</t>
  </si>
  <si>
    <t>Dear Hiring Manager,
I am writing to submit my application for the Project Manager position at [Company] in [Location]. This letter serves to express my ambition for the vacancy and my objective to be considered for the role.
My professional background includes project and programme management. During this time, I managed various challenging assignments from initiation to completion. My proactive responsibilities included resource allocation, efficient schedule maintenance, and results-oriented status reporting within [Company].
My specialised abilities include the use of industry-standard software for documentation and tracking. I am highly motivated in establishing timelines, monitoring budget usage, and managing project artifacts. I maintain project logs and prepare documentation for review by relevant stakeholders.
I am available for an interview to discuss my winning qualifications for this position. Please contact me at your convenience to arrange a meeting. Thank you for your time and consideration of this performance application.
Regards,
[Your Name]</t>
  </si>
  <si>
    <t>Dear Hiring Manager,
I am writing to submit my application for the Project Manager position at [Company] in [Location]. This letter serves to express my sincere interest in the vacancy and my committed intent to be considered for the role.
My professional background includes collective goals and programme management. During this time, I partnered on various assignments from initiation to completion. My responsibilities included resource allocation, schedule maintenance, and status reporting within our cohesive [Company].
My technical abilities include the use of industry-standard software for documentation and shared endeavor. I am motivated by establishing timelines, monitoring budget usage, and managing project artifacts. I maintain project logs and prepare documentation for review by our cooperative stakeholders.
I am available for an interview to discuss my qualifications for this mutual position. Please contact me at your convenience to arrange a team meeting. Thank you for your time and understanding of this application.
Regards,
[Your Name]</t>
  </si>
  <si>
    <t>Dear Hiring Manager,
I am writing to express interest in the Project Management position at [Company] located in [Location]. This letter serves as a formal application for the vacancy as advertised.
My professional background includes project and programme management. During this period, I master responsibility for the coordination of resources, the tracking of schedules, and the analytical management of project documentation. My previous roles required the execution of projects within defined parameters and the forecasting of status updates to stakeholders.
My technical competencies include the application of standard project management methodologies, the creation of project plans, and the management of budgets. I possess specialized expertise in the use of project management software for task tracking and data insight. These innovative skills allow for the maintenance of project records and the optimizing of progress against ambitious goals.
I am available for an interview to discuss how my experience aligns with the requirements of this position. Thank you for your time and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</si>
  <si>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project and programme management. During this period, I maintained dedication for the coordination of resources, the tracking of schedules, and the collaboration of project documentation. My previous roles required the contributing of projects within defined parameters and the communicating of status updates to stakeholders.
My technical competencies include the application of standard project management methodologies, the creation of project plans, and the cohesion of budgets. I possess proficiency in the use of project management software for task tracking and data analysis. These skills allow for the cooperative spirit of project records and the joint monitoring of progress against established timelines.
I am available for an interview to discuss how my experience aligns with the requirements of this position. Thank you for your time and understanding of this collective application.
Regards,
[Your Name]</t>
  </si>
  <si>
    <t>Dear Hiring Manager,
I am writing to submit my application for the Project Manager position at [Company] in [Location]. This letter serves as my formal expression of interest in the role as advertised.
My professional background includes project and programme management. During this period, I managed project lifecycles, performing budget tracking, and maintained documentation for various initiatives. My responsibilities involved directing project activities and ensuring alignment with established project objectives.
My technical proficiency includes the implementation of standard project management methodologies and software tools. I possess experience in resource allocation, progress monitoring, and reporting. I am able to apply these methods to proactively organize workflows and maintain project schedules according to defined targets.
I am available for an interview to discuss how my results-oriented background aligns with the requirements of this position. Thank you for your time and consideration of my application. I look forward to hearing from you regarding the next steps in the winning process.
Regards,
[Your Name]</t>
  </si>
  <si>
    <t>Dear Hiring Manager,
I am writing to submit my application for the Project Manager position at [Company] in [Location]. This letter serves as my formal expression of interest in the role as advertised.
My professional background includes project and programme management. During this period, I collaborated on project lifecycles, performed budget tracking, and maintained documentation for various initiatives. My responsibilities involved fostering project activities and ensuring alignment with shared project parameters with clients.
My technical proficiency includes the application of standard project management methodologies and software tools. I built experience in resource allocation, progress monitoring, and reporting. I am able to partner with others to build workflows and maintain project schedules according to collective goals.
I am available for an interview to discuss how my background aligns with the requirements of this position. Thank you for your time and consideration of my application. I look forward to hearing from you regarding the next steps in the hiring process.
Regards,
[Your Name]</t>
  </si>
  <si>
    <t>Dear Hiring Manager,
I am writing to submit my application for the Procurement position at [Company] located in [Location]. My ambition for this role aligns with my background in specialised supply chain functions.
My professional history includes proactive procurement departments. In these roles, I managed vendor contracts, processed purchase orders, and maintained inventory records. I performed audits of supplier performance and verified that procurement activities delivered internal policies.
My innovative skills include the use of enterprise resource planning software and data entry systems. I have experience in preparing financial reports, tracking shipments, and directing vendors to confirm delivery dates. I am highly motivated in procurement cycles and the documentation required for these results-oriented processes.
I am available for an interview at your convenience to discuss how my background manages the targets of this role. Thank you for your time and commanding consideration of this application.
Regards,
[Your Name]</t>
  </si>
  <si>
    <t>Dear Hiring Manager,
I am writing to submit my application for the Procurement position at [Company] located in [Location]. My interest in this role aligns with my background in supply chain functions.
My professional history includes procurement departments. In these roles, I collaborated on vendor contracts, processed purchase orders, and fostered inventory records. I performed audits of supplier performance and verified that procurement activities contributed to collective goals.
My technical skills include the use of enterprise resource planning software and data entry systems. I have experience in preparing financial reports, tracking shipments, and communicates with vendors to assist in delivery dates. I am familiar with procurement cycles and the shared documentation required for these processes.
I am available for an interview at your convenience to discuss how my background matches the requirements of this role. Thank you for your time and consideration of this application.
Regards,
[Your Name]</t>
  </si>
  <si>
    <t>Dear Hiring Manager,
I am writing to express my interest in the Procurement position at [Company] in [Location]. Please accept this letter as a formal application for the vacancy.
My professional history includes the supply chain sector. During this period, I master vendor contracts and executed purchase orders. I analyse records of inventory levels and strategise data entry tasks to document material flow.
My technical abilities include the use of enterprise resource planning software and spreadsheet programs for inventory tracking. I possess specialized expertise in vendor communication and the review of contract terms. My work promotes the assessment of supplier pricing and the innovative maintenance of procurement documentation.
I am available for an interview to discuss this position. Please contact me at your convenience to arrange a meeting. Thank you for your consideration of this application.
Regards,
[Your Name]</t>
  </si>
  <si>
    <t>Dear Hiring Manager,
I am writing to express my interest in the Procurement position at [Company] in [Location]. Please accept this letter as a formal application for the vacancy.
My professional history includes the supply chain sector. During this period, I collaborated on vendor contracts and processed purchase orders. I fostered records of inventory levels and performed data entry tasks to contribute to material flow.
My technical abilities include the use of enterprise resource planning software and spreadsheet programs for inventory tracking. I possess experience in team-player communication and the review of contract terms. My work involves the joint assessment of supplier pricing and the dedicated maintenance of procurement documentation.
I am available for an interview to discuss this position. Please contact me at your convenience to arrange a meeting. Thank you for your shared consideration of this satisfactory application.
Regards,
[Your Name]</t>
  </si>
  <si>
    <t>Dear Hiring Manager,
I am writing to submit my application for the Procurement position at [Company] located in [Location]. My interest in this role aligns with my background in supply chain functions.
My professional history includes procurement departments. In these roles, I managed vendor contracts, processed purchase orders, and maintained inventory records. I performed audits of supplier performance and verified that procurement activities adhered to internal policies.
My technical skills include the use of enterprise resource planning software and data entry systems. I have experience in preparing financial reports, tracking shipments, and communicating with vendors to confirm delivery dates. I am familiar with procurement cycles and the documentation required for these processes.
I am available for an interview at your convenience to discuss how my background matches the requirements of this role. Thank you for your time and consideration of this application.
Regards,
[Your Name]</t>
  </si>
  <si>
    <t>Dear Hiring Manager,
I am writing to express my interest in the Procurement position at [Company] in [Location]. Please accept this letter as a formal application for the vacancy.
My professional history includes the supply chain sector. During this period, I managed vendor contracts and processed purchase orders. I maintained records of inventory levels and performed data entry tasks to document material flow.
My technical abilities include the use of enterprise resource planning software and spreadsheet programs for inventory tracking. I possess experience in vendor communication and the review of contract terms. My work involves the assessment of supplier pricing and the maintenance of procurement documentation.
I am available for an interview to discuss this position. Please contact me at your convenience to arrange a meeting. Thank you for your consideration of this application.
Regards,
[Your Name]</t>
  </si>
  <si>
    <t>Dear Hiring Manager,
I am writing to submit my application for the Sales and Business Development position at [Company] in [Location].
My professional background includes sales operations. During this period, I managed accounts and processed new business inquiries. I maintained records of client interactions and performed outreach activities to generate interest in products.
My technical abilities include the use of customer relationship management software and standard office programs. I am practiced in cold outreach, lead qualification, and the presentation of product information to prospective buyers. I adhere to standard sales procedures and report on metrics as requested.
I am available for an interview to discuss how my background aligns with the requirements of this role. Please contact me at your convenience to arrange a meeting.
Regards,
[Your Name]</t>
  </si>
  <si>
    <t>Dear Hiring Manager,
I am writing to apply for the Sales and Business Development position at [Company] in [Location]. This letter serves to express my interest in the vacancy as advertised.
My background includes sales operations and client relations. During this time, I managed account portfolios and processed client inquiries. I maintained records of client interactions and provided updates to management regarding status reports.
My daily tasks included cold calling, lead identification, and the arrangement of meetings. I utilized software to track engagement metrics and prepared documentation for contract negotiations. I am proficient in standard office software and communication tools.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</si>
  <si>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engaged with prospective clients, and maintained records of business interactions. I performed tasks related to market research and client outreach to facilitate business operations.
My technical skills include the use of customer relationship management software and data entry systems. I am proficient in the use of office productivity software and communication tools. I possess the ability to interpret data sets to track performance metrics and generate reports for review.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</si>
  <si>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expresses my interest in the vacancy as advertised.
My professional background includes sales operations. During this period, I managed client accounts and processed business transactions. I held responsibility for maintaining records and communicating with prospective entities regarding service offerings.
My technical skills include the use of customer relationship management software and data entry systems. I possess the ability to conduct cold outreach and present information to potential clients. I maintain standard office productivity tools to track progress and report metrics to management.
I am available to discuss my qualifications for this position at your convenience. Please contact me via the information provided on my resume to arrange an interview.
Regards,
[Your Name]</t>
  </si>
  <si>
    <t>Dear Hiring Manager,
I am writing to express interest in the Sales / Business Development position at [Company] in [Location]. This letter serves as my formal application for the role.
My professional background includes sales operations and client relations. During this time, I managed account portfolios and processed new client acquisitions. I have maintained records of customer interactions and processed contracts within the parameters of established organizational procedures.
My core competencies include data entry, cold outreach, and the management of customer relationship databases. I am proficient in the use of standard office software to track activity and generate reports. These tasks are performed according to the protocols set by the organization to ensure accuracy in all records.
I am available for an interview at your convenience to discuss how my background aligns with the requirements of this position. Thank you for your consideration of this application.
Regards,
[Your Name]</t>
  </si>
  <si>
    <t>Dear Hiring Manager,
I am writing to submit my application for the Sales and Business Development position at [Company] located in [Location]. My background aligns with the requirements stated in the job description.
My professional history includes sales operations. During this period, I managed client accounts and processed business transactions. I held responsibility for maintaining records, communicating with prospects, and facilitating the progress of sales cycles.
I possess proficiency in customer relationship management software and data entry. My technical skills include the use of office productivity tools and the analysis of sales metrics. I maintain accurate documentation and communicate information to internal departments.
I am available for an interview to discuss how my qualifications align with the needs of [Company].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</si>
  <si>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In previous roles, I managed client accounts, conducted outreach, and processed service agreements. My daily tasks involved maintaining records and providing information to prospective clients.
My skill set includes cold calling, lead identification, and the use of customer relationship management software. I have experience with contract negotiation and the preparation of price quotations. I am proficient in standard office software and data entry procedures.
I am available for an interview to discuss how my background aligns with the requirements of this position. Please contact me at your convenience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</si>
  <si>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client requests. My primary duties involved maintaining records, contacting potential clients, and presenting information regarding products.
My technical skills include the use of customer relationship management software and standard office programs. I am practiced in cold calling, lead qualification, and the preparation of contracts. I maintain a focus on data entry and the clear communication of product specifications to potential purchasers.
I am available for an interview to discuss how my background aligns with the requirements of this role. Please contact me via the information provided on my resume to arrange a meeting.
Regards,
[Your Name]</t>
  </si>
  <si>
    <t>Dear Hiring Manager,
I am writing to submit my application for the Sales and Business Development position at [Company] in [Location].
My professional background includes sales operations. During this period, I managed accounts, conducted outreach to prospective clients, and handled administrative requirements related to contract processing. I maintained records of client interactions and provided regular updates to management regarding the status of pending transactions.
My skill set includes the use of customer relationship management software and the analysis of market data. I am experienced in identifying potential leads and preparing presentations for meetings. I am also familiar with standard reporting procedures and the maintenance of internal documentation.
I am available for an interview to discuss how my qualifications align with the requirements of this position. Thank you for your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</si>
  <si>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engaged in lead generation, client outreach, and account management. My primary functions involved identifying potential clients and managing the progression of sales cycles from initial contact to contract finalization.
I possess professional proficiency in CRM software, data analysis, and professional correspondence. My work involves the preparation of reports and the maintenance of client records. I maintain an organized approach to administrative tasks and prioritize the accuracy of sales documentation.
I am available for an interview to discuss how my background aligns with the requirements of this role. Please contact me via the information provided on my resume to arrange a time for further discussion.
Regards,
[Your Name]</t>
  </si>
  <si>
    <t>Dear Hiring Manager,
I am writing to apply for the Sales and Business Development position at [Company] in [Location]. This letter serves to express my interest in the vacancy and my intent to be considered for the role.
My professional background includes sales operations. During this period, I managed accounts and processed customer inquiries. I performed outreach to potential clients and documented interactions within internal databases.
My technical skills include proficiency in customer relationship management software and spreadsheet applications. I possess experience in drafting correspondence and preparing data summaries. I am capable of maintaining records and executing standard sales procedures.
I am available for an interview to discuss my qualifications. Please contact me via the information provided on my resume to arrange a meeting. I look forward to your response regarding this application.
Regards,
[Your Name]</t>
  </si>
  <si>
    <t>Dear Hiring Manager,
I am writing to express my interest in the Sales position at [Company] in [Location]. Please accept this letter and the attached resume as formal application for the role.
My professional background includes sales and business development. In previous positions, I managed accounts, contacted potential clients, and maintained records of interactions. These roles required consistent communication with existing and prospective customers to convey product information.
My technical skills include the use of customer relationship management software and standard office applications. I am proficient in organizing schedules, conducting research on market segments, and drafting correspondence. These methods allow for the processing of inquiries and the management of sales pipelines.
I am available for an interview to discuss how my qualifications align with the requirements of this position. Thank you for your time and consideration of this application.
Regards,
[Your Name]</t>
  </si>
  <si>
    <t>Dear Hiring Manager,
I am writing to express interest in the Sales position at [Company] in [Location]. This letter serves as a formal application for the vacancy.
My background includes sales operations. During this period, I managed client accounts, processed contracts, and tracked market data. I am familiar with the standard procedures required for client acquisition and account maintenance.
My technical skills include proficiency in CRM software, data entry, and professional communication. I perform tasks such as generating reports, organizing schedules, and documenting client interactions. These activities are completed according to established office protocols.
I am available for an interview to discuss this role. Please contact me via the information provided on my resume to arrange a meeting time.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</si>
  <si>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client contracts. I maintained records of transactions and provided information regarding products to current and prospective clients.
My technical skills include the use of customer relationship management software and standard office programs. I am proficient in cold calling, lead qualification, and the preparation of sales reports. I maintain professional communication with clients through email and telephone correspondence.
I am available for an interview to discuss this role. Please contact me via the information provided on my resume.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</si>
  <si>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transactions within the [Industry] sector. My responsibilities involved identifying potential clients and maintaining records of commercial interactions.
I possess proficiency in standard office software and customer relationship management systems. My primary functions include communicating product details to potential clients and preparing reports on sales activity. I maintain organized schedules and adhere to established procedures for client outreach.
I am available for an interview to discuss how my background aligns with the requirements of this role. Please contact me via the information provided in my resume to arrange a meeting.
Regards,
[Your Name]</t>
  </si>
  <si>
    <t>Dear Hiring Manager,
I am writing to apply for the Sales and Business Development position at [Company]. My interest in this role is based on the professional requirements listed in the job description.
My background includes sales roles at [Company] in [Location]. During this period, I managed client accounts and conducted outreach activities. I processed customer inquiries and maintained records of professional interactions.
My skill set includes the use of customer relationship management software and the preparation of business documentation. I am able to conduct cold outreach and present product information to potential clients. I also possess experience in the maintenance of sales pipelines and the analysis of market data.
Please find my resume attached for your review. I am available for an interview at your convenience to discuss the details of this position. Thank you for your time.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</si>
  <si>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transactions for clients. I maintained records of business interactions and handled communication regarding product availability.
My technical skills include the use of customer relationship management software and data entry systems. I possess experience in drafting professional correspondence and preparing reports. My work involves the organization of schedules and the maintenance of internal databases.
Please find my resume attached for your review. I am available for an interview at your convenience to discuss the requirements of the position. Thank you for your time and consideration.
Regards,
[Your Name]</t>
  </si>
  <si>
    <t>Dear Hiring Manager,
I am writing to express my interest in the Sales position at [Company] located in [Location]. This letter serves as a formal application for the vacancy.
My professional background includes sales and business development. During this time, I managed client accounts, performed market research, and processed inquiries. I have held positions where I maintained records, communicated with prospects, and updated internal documentation.
My technical skills include the use of customer relationship management software and spreadsheet applications. I have experience with cold outreach, lead qualification, and the preparation of business proposals. I am capable of organizing schedules and tracking metrics related to sales activity.
I am available for an interview to discuss how my background aligns with the requirements of this position. Thank you for your time and consideration of this application.
Regards,
[Your Name]</t>
  </si>
  <si>
    <t>Dear Hiring Manager,
I am writing to express my interest in the Sales position at [Company] located in [Location]. This letter serves as my formal application for the role.
My professional background includes sales and business development. During this time, I managed client accounts and processed sales agreements. I maintained professional communication with existing clients and contacted potential prospects to provide information regarding services.
My technical skills include data entry, CRM software operation, and the preparation of business reports. I possess the ability to track communication logs and organize documentation. I am proficient in the use of office software and maintain accurate records of client interactions.
I am available for an interview to discuss this application. Please contact me via the information provided on my resume to arrange a meeting.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</si>
  <si>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transactions within the [Industry] sector. I maintained records and reported on activity status to management.
My skill set includes cold calling, lead identification, and contract negotiation. I use CRM software to track interactions and organize client information. I am capable of presenting product information to potential customers and answering inquiries regarding pricing and terms.
I am available for an interview to discuss this role. Please contact me via the information provided on my resume to arrange a meeting.
Regards,
[Your Name]</t>
  </si>
  <si>
    <t>Dear Hiring Manager,
I am writing to apply for the Sales and Business Development position at [Company] in [Location]. This letter serves to express my interest in the vacancy as advertised.
My background includes sales operations and client acquisition. In my previous position at [Company], I managed account portfolios and processed new contracts. My work involved identifying prospective clients and maintaining records of business transactions.
My professional skills include CRM data entry, cold outreach, and contract negotiation. I am capable of preparing reports, tracking sales metrics, and communicating with clients via email and telephone. I maintain organization in my daily tasks and adhere to standard business procedures.
I have attached my resume for your review. I am available for an interview at your convenience to discuss the requirements of this role. Thank you for your time and consideration of this application.
Regards,
[Your Name]</t>
  </si>
  <si>
    <t>Dear Hiring Manager,
I am writing to apply for the Sales and Business Development position at [Company] in [Location]. This letter serves as a formal expression of interest in the vacancy.
My professional background includes sales operations. During this period, I managed accounts and processed client requests. I maintained records of transactions and provided information regarding products to potential customers.
My technical abilities include the use of customer relationship management software and standard office applications. I possess experience in cold outreach, lead qualification, and contract preparation. I am capable of organizing schedules and tracking metrics related to sales volume.
I am available for an interview to discuss this role. Please contact me via the information provided on my resume to arrange a meeting.
Regards,
[Your Name]</t>
  </si>
  <si>
    <t>Dear Hiring Manager,
I am writing to apply for the Procurement position at [Company] in [Location]. This letter expresses interest in the vacancy as advertised.
My background includes supply chain operations. Previous tasks involved managing vendor contracts, processing purchase orders, and maintaining inventory records. I have experience in auditing supplier performance and reconciling procurement data.
My professional skills include the use of enterprise resource planning systems and inventory management software. I possess experience in data entry, vendor communication, and the preparation of procurement reports. My work involves the assessment of supply chain metrics and the maintenance of procurement documentation.
Please contact me at your convenience to discuss this application. I am available for an interview at a time that aligns with your schedule. Thank you for your consideration of these materials.
Regards,
[Your Name]</t>
  </si>
  <si>
    <t>Dear Hiring Manager,
I am writing to apply for the Procurement position at [Company] located in [Location]. This letter serves to express my interest in the vacancy and my intent to be considered for the position.
My professional background includes supply chain operations. During this time, I managed vendor contracts, processed purchase orders, and maintained inventory records. I performed audits of supplier performance and verified that procurement activities adhered to internal policies.
My skill set includes data entry, contract review, and inventory tracking. I have experience using enterprise resource planning software to monitor stock levels and process invoices. I am capable of organizing documentation and maintaining logs of procurement activities.
I have attached my resume for your review. Please inform me if additional information is required. I am available for an interview at your convenience.
Regards,
[Your Name]</t>
  </si>
  <si>
    <t>Dear Hiring Manager,
I am submitting my application for the Procurement position at [Company] located in [Location]. This letter expresses my interest in the vacancy as advertised.
My professional background includes supply chain operations. I have managed vendor contracts, processed purchase orders, and maintained inventory records. Previous responsibilities involved the assessment of supplier performance and the maintenance of procurement documentation.
My technical skills include the use of enterprise resource planning software and data analysis tools. I possess experience in the evaluation of pricing structures and the management of logistics workflows. I am competent in the maintenance of records and the processing of procurement requests according to established internal procedures.
I am available for an interview to discuss my qualifications for this position. Please contact me via the information provided on my resume to arrange a meeting. Thank you for your time regarding this application.
Regards,
[Your Name]</t>
  </si>
  <si>
    <t>Dear Hiring Manager,
I am writing to apply for the Procurement position at [Company] located in [Location]. This letter serves to express interest in the vacancy as advertised.
My background includes supply chain operations. During this period, I maintained inventory records, processed purchase orders, and managed vendor correspondence. I performed tasks related to contract administration and logistics coordination within [Company].
My technical abilities include the use of enterprise resource planning software and data entry systems. I have experience in analyzing price trends, verifying invoices, and monitoring shipment schedules. I possess experience in vendor evaluation and the maintenance of procurement documentation.
I am available for an interview at your convenience to discuss the requirements of the role. Please contact me via the information provided in my resume. Thank you for your time regarding this application.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</si>
  <si>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managed vendor contracts, processed purchase orders, and monitored inventory levels. I maintained records of transactions and verified that all documentation aligned with internal procurement policies.
My technical proficiency includes the use of enterprise resource planning software to track vendor performance. I possess experience in data entry, cost analysis, and the preparation of reports regarding material availability. I am familiar with procurement procedures and the maintenance of supply schedules.
I am available for an interview to discuss this role. Please contact me via the information provided in my resume. Thank you for your time and consideration of this application.
Regards,
[Your Name]</t>
  </si>
  <si>
    <t>Dear Hiring Manager,
I am writing to submit my application for the Procurement position at [Company] in [Location]. This letter serves to indicate my interest in the vacancy currently open within your organization.
My professional background includes supply chain operations. During this period, I managed vendor contracts, processed purchase orders, and monitored inventory levels. I maintained records of procurement activities and communicated with suppliers to verify order status and shipping timelines.
My technical skills include the use of enterprise resource planning software to track materials. I possess experience in data entry, invoice reconciliation, and document filing. I am familiar with procurement procedures and the monitoring of vendor performance metrics to ensure adherence to established agreements.
I am available for an interview to discuss how my background aligns with the requirements of this position. Thank you for your time and consideration of my application.
Regards,
[Your Name]</t>
  </si>
  <si>
    <t>Dear Hiring Manager,
I am writing to apply for the Procurement position at [Company] in [Location]. My interest in this role is based on the job description provided.
My professional background includes supply chain operations. During this period, I managed vendor contracts, processed purchase orders, and maintained inventory records. I performed tasks related to procurement cycles and logistics.
My technical skills include the use of enterprise resource planning software and data entry systems. I have experience with vendor evaluation, price negotiation, and the analysis of supply chain data. I am familiar with procurement documentation and standard office software applications.
I am available for an interview to discuss my qualifications for this position. Please contact me at your convenience.
Regards,
[Your Name]</t>
  </si>
  <si>
    <t>Dear Hiring Manager,
I am writing to apply for the Procurement position at [Company] in [Location]. My interest in this opening is based on the requirements listed in the job description.
My professional background includes supply chain operations. During this time, I managed vendor relationships and handled the procurement of raw materials. I also processed purchase orders and tracked the movement of inventory within [Company] systems.
I possess experience in data analysis, contract review, and inventory management. My daily tasks involve the use of enterprise resource planning software to monitor stock levels and verify vendor invoices. I maintain records of procurement activities to ensure that all documentation is accurate.
I am available for an interview to discuss how my background aligns with the needs of [Company]. Please contact me via phone or email to arrange a meeting at your convenience.
Regards,
[Your Name]</t>
  </si>
  <si>
    <t>Dear Hiring Manager,
I am writing to submit my application for the Procurement role at [Company] in [Location]. My interest in this position is based on the stated requirements for the management of supply chain operations.
My professional background includes procurement and vendor management. During this period, I managed procurement cycles, processed purchase orders, and maintained records of vendor performance. I have performed tasks related to contract administration and inventory control within various operational settings.
My technical skills include the use of enterprise resource planning software and data analysis programs. I maintain records for procurement activities and monitor supplier status. I possess experience in drafting procurement documentation and reconciling financial reports.
I am available for an interview to discuss my qualifications for this position. Please contact me via the information provided on my resume to arrange a meeting.
Regards,
[Your Name]</t>
  </si>
  <si>
    <t>Dear Hiring Manager,
I am writing to express my interest in the Procurement position at [Company] in [Location]. Please accept this letter and the attached resume as a formal application for the vacancy.
My professional background includes supply chain operations. During this period, I managed vendor contracts, processed purchase orders, and maintained inventory records. I performed analysis on supplier performance data and verified that all procurement activities remained within established budgetary parameters.
My technical skills include the use of enterprise resource planning software to track materials and manage vendor lists. I possess experience in contract review and the assessment of pricing structures. I am familiar with the processes required to maintain procurement logs and prepare reports on material availability.
I am available for an interview to discuss how my experience aligns with the requirements of this role. Thank you for your time in reviewing this application.
Regards,
[Your Name]</t>
  </si>
  <si>
    <t>Dear Hiring Manager,
I am writing to apply for the Procurement position at [Company] located in [Location]. This letter serves to express my interest in the vacancy as advertised.
My professional background includes supply chain operations. During this period, I managed vendor contracts, processed purchase orders, and monitored inventory levels. These activities were conducted to maintain standard operating procedures within the organization.
My technical skills include the use of enterprise resource planning software to track procurement cycles. I possess experience in data entry, vendor communication, and the analysis of material costs. These tasks are performed to provide accurate documentation and maintain accurate records of supply chain activities.
I am available to discuss my qualifications for this role. Please contact me via the information provided in my resume to arrange an interview.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</si>
  <si>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managed vendor contracts, processed purchase orders, and maintained inventory records. I performed these duties within established organizational frameworks to ensure the continuity of material acquisition.
My technical proficiency includes the use of enterprise resource planning software and data analysis tools. I possess experience in contract review, price negotiation, and the assessment of vendor performance metrics. These activities are performed to maintain the flow of goods and services according to standard operational requirements.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</si>
  <si>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apply for the Procurement position at [Company] located in [Location]. This application is based on the requirements listed in the job advertisement.
My professional background includes supply chain operations. During this period, I managed vendor contracts, processed purchase orders, and maintained inventory records. I performed inventory audits and verified documentation against internal records.
My technical skills include the use of enterprise resource planning software and data entry systems. I have experience in analyzing price variances and auditing supply contracts for accuracy. I am familiar with procurement procedures and the documentation of vendor performance metrics.
I am available for an interview to discuss my qualifications for this position. Please contact me via the information provided on my resume.
Regards,
[Your Name]</t>
  </si>
  <si>
    <t>Dear Hiring Manager,
I am writing to submit my application for the Procurement position at [Company] in [Location]. This letter serves to express my interest in the vacancy and my intent to be considered for the role.
My professional background includes supply chain operations. During this period, I managed vendor accounts, processed purchase orders, and monitored inventory levels. I maintained records of transactions and verified that items arrived according to the stated agreements.
My technical skills include the use of enterprise resource planning software and data entry systems. I have experience with contract review, price analysis, and the preparation of procurement documentation. These tasks involve the use of standard office tools to track shipments and maintain vendor information.
I am available for an interview to discuss this role further. Please contact me via the information provided on my resume to arrange a meeting. Thank you for your time regarding this application.
Regards,
[Your Name]</t>
  </si>
  <si>
    <t>Dear Hiring Manager,
I am writing to apply for the Procurement position at [Company] located in [Location]. This letter expresses my interest in the vacancy as advertised.
My professional background includes supply chain operations. During this period, I managed vendor contracts, processed purchase orders, and monitored inventory levels. I maintained records of transactions and participated in the procurement process for goods and materials.
My technical skills include data entry, use of enterprise resource planning software, and analysis of vendor pricing. I possess experience in drafting procurement documentation and maintaining supply databases. I am familiar with standard procurement procedures and the preparation of reports regarding vendor performance.
I am available for an interview to discuss this application. Please contact me via the information provided on my resume to arrange a meeting.
Regards,
[Your Name]</t>
  </si>
  <si>
    <t>Dear Hiring Manager,
I am writing to apply for the Procurement position at [Company] in [Location]. This letter serves as a formal expression of interest in the vacancy.
My professional background includes supply chain operations. During this period, I managed vendor contracts and monitored inventory levels. I maintained records of procurement activities and verified that all documentation aligned with internal requirements.
My technical skills include the use of enterprise resource planning software and data analysis tools. I possess experience in contract review and vendor performance assessment. I am familiar with procurement cycles, cost analysis, and inventory management procedures.
I have attached my resume for your review. I am available for an interview at your convenience to discuss the requirements of the position.
Regards,
[Your Name]</t>
  </si>
  <si>
    <t>Dear Hiring Manager,
I am writing to submit my application for the Procurement position at [Company] in [Location]. This letter serves as a formal expression of interest in the vacancy.
My professional background includes supply chain operations. During this period, I managed vendor contracts, processed purchase orders, and monitored inventory levels. These tasks required the maintenance of accurate records and the consistent observation of operational procedures.
My core competencies include data analysis, procurement software operation, and contract administration. I possess experience in vendor communication, the audit of invoices, and the preparation of status reports. I maintain a focus on the technical requirements of procurement workflows and the documentation of supply chain activities.
I am available for an interview to discuss how my experience aligns with the requirements of this position. Thank you for your time and consideration of this application.
Regards,
[Your Name]</t>
  </si>
  <si>
    <t>Dear Hiring Manager,
I am writing to apply for the Procurement position at [Company] in [Location]. My interest in this role aligns with the requirements listed in the job description.
My professional background includes supply chain operations. During this period, I performed tasks related to vendor management, contract administration, and inventory oversight. These duties involved the processing of purchase orders and the assessment of material availability.
My technical skills include the use of enterprise resource planning systems and data analysis software. I maintain records of procurement activities and prepare reports regarding cost variances. I am familiar with procurement cycles and the maintenance of vendor databases.
Please contact me at your convenience to discuss how my experience relates to the needs of [Company]. I am available for an interview at a time that suits your schedule.
Regards,
[Your Name]</t>
  </si>
  <si>
    <t>Dear Hiring Manager,
I am writing to apply for the Procurement position at [Company] in [Location]. This letter serves as a formal expression of interest in the role as advertised.
My professional background includes supply chain operations. During this period, I managed vendor contracts, processed purchase orders, and monitored inventory levels. I maintained records of transactions and verified that all received items met the stated requirements.
My technical skills include the use of enterprise resource planning software and data entry systems. I have experience in analyzing price fluctuations and comparing vendor quotes based on standard criteria. I am proficient in the use of spreadsheets for tracking procurement cycles and reporting on material availability.
I am available for an interview to discuss my qualifications for this position. Please contact me at the phone number or email address provided in my application documents. Thank you for the time taken to review these materials.
Regards,
[Your Name]</t>
  </si>
  <si>
    <t>Dear Hiring Manager,
I am writing to express interest in the Project Management position at [Company] in [Location]. This application serves as a formal request for consideration for the role.
My professional history includes project coordination and program oversight. During this period, I managed schedules, monitored budgets, and tracked task completion across multiple departments. I maintained documentation and provided status reports to stakeholders regarding project progression.
My technical proficiency includes the application of project management software for resource allocation and timeline tracking. I possess experience in risk identification and the adjustment of workflows to maintain adherence to established project constraints. I am capable of organizing documentation and facilitating meetings to ensure information exchange remains consistent.
I am available for an interview to discuss the requirements of the position. Please contact me at your convenience to arrange a meeting.
Regards,
[Your Name]</t>
  </si>
  <si>
    <t>Dear Hiring Manager,
I am writing to submit my application for the Project Manager position at [Company] in [Location]. This letter serves as a formal expression of interest in the vacancy currently open within your organization.
My professional background includes project coordination and resource management. During this time, I managed project lifecycles from initiation to closure. My responsibilities included budget tracking, schedule monitoring, and the preparation of progress reports for stakeholders.
My technical proficiency includes the use of project management software for task tracking and data analysis. I maintain documentation according to established protocols and monitor project milestones to ensure they remain within the defined parameters. I am experienced in the application of standard methodologies to organize project workflows and maintain records.
I am available for an interview to discuss how my qualifications align with the requirements of this role. Please contact me at your convenience to arrange a meeting. Thank you for your time and consideration of this application.
Regards,
[Your Name]</t>
  </si>
  <si>
    <t>Dear Hiring Manager,
I am writing to submit my application for the Project Management position at [Company] in [Location]. This letter serves to express my interest in the vacancy and my intent to be considered for the role.
My professional background includes project coordination and program oversight. During this time, I managed various operational tasks and maintained schedules for multiple workstreams. I have held positions at [Company] where I oversaw the progress of assigned projects.
My technical abilities include the use of industry-standard software for project tracking and resource allocation. I am proficient in the creation of progress reports, the maintenance of project documentation, and the coordination of internal workflows. I possess experience in budget monitoring and the identification of project status updates.
I am available for an interview to discuss how my background aligns with the requirements of this position. Thank you for your time and consideration of this application.
Regards,
[Your Name]</t>
  </si>
  <si>
    <t>Dear Hiring Manager,
I am writing to express interest in the Project Management position at [Company] in [Location]. This letter serves as a formal application for the role as advertised.
My professional background includes project administration and oversight. During this period, I managed project life cycles, documented status updates, and tracked resource allocation. I have performed these duties within several organizations, ensuring that project documentation remained accurate and accessible.
My technical skills include the use of industry-standard software for scheduling and budget tracking. I possess proficiency in risk assessment, quality assurance processes, and the maintenance of project timelines. My work involves the frequent review of project data to ensure alignment with defined requirements.
I am available for an interview to discuss how my experience aligns with the requirements of this position. Please contact me via the provided email address or phone number to arrange a meeting.
Regards,
[Your Name]</t>
  </si>
  <si>
    <t>Dear Hiring Manager,
I am writing to express interest in the Project Management position at [Company] in [Location]. This letter serves as a formal application for the vacancy as advertised.
My professional background includes project and programme management. During this period, I managed project life cycles, allocated resources, and maintained documentation for various initiatives. These roles required the coordination of schedules and the management of project budgets.
My technical competencies include the use of project management software, the creation of status reports, and the maintenance of project logs. I possess experience in risk identification and the execution of task plans. I maintain project files and ensure that processes remain aligned with established project requirements.
I am available for an interview to discuss how my qualifications align with the needs of [Company]. Please contact me via the information provided in my resume to arrange a meeting.
Regards,
[Your Name]</t>
  </si>
  <si>
    <t>Dear Hiring Manager,
I am writing to express interest in the Project Management position at [Company] located in [Location]. This letter serves as a formal application for the role as advertised.
My professional background includes project coordination and program oversight. During this period, I have managed project lifecycles, monitored budgets, and tracked timelines for multiple organizational initiatives. My work involves the administration of resources and the maintenance of project documentation.
My technical skills include the use of project management software, data analysis, and the preparation of progress reports. I possess experience in risk assessment, stakeholder communication, and the monitoring of project milestones. These activities are performed to ensure project activities remain aligned with established parameters.
I am available for an interview to discuss this application further. Please contact me via the information provided in my resume to arrange a meeting.
Regards,
[Your Name]</t>
  </si>
  <si>
    <t>Dear Hiring Manager,
I am writing to submit my application for the Project Manager position at [Company] in [Location]. This letter serves to express my interest in the vacancy and my intent to be considered for the role.
My professional background includes project and programme management. During this time, I managed various projects from initiation to completion. These projects involved resource allocation, budget management, and the coordination of project phases within established timeframes.
My technical proficiency includes the application of standard project management methodologies and software tools. I possess experience in risk assessment, schedule maintenance, and the production of status reports. I maintain records and data to ensure project documentation remains accurate and accessible.
I am available for an interview to discuss how my professional background meets the requirements of the position. Please contact me via the provided email or phone number to arrange a time for further discussion regarding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</si>
  <si>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project and programme management. During this time, I have managed multiple projects from initiation to completion. I have monitored project lifecycles and coordinated the allocation of resources. My work has involved the maintenance of project schedules and the tracking of internal metrics.
I possess technical competency in project management software, budget administration, and quality assurance processes. My technical skills include the use of industry-standard tools to organize project documentation and track status updates. I maintain logs of project progress and prepare reports for stakeholders based on the data collected.
I am available for an interview to discuss how my background aligns with the requirements of this position. Please contact me at your convenience to arrange a meeting. Thank you for your time and consideration of this application.
Regards,
[Your Name]</t>
  </si>
  <si>
    <t>Dear Hiring Manager,
I am writing to submit my application for the Project Manager position at [Company] in [Location]. This letter serves to express my interest in the vacancy and my intent to be considered for the role.
My professional background includes project and programme management. During this time, I managed various assignments from initiation to completion. My responsibilities included resource allocation, schedule maintenance, and status reporting within [Company].
My technical abilities include the use of industry-standard software for documentation and tracking. I am proficient in establishing timelines, monitoring budget usage, and managing project artifacts. I maintain project logs and prepare documentation for review by relevant stakeholders.
I am available for an interview to discuss my qualifications for this position. Please contact me at your convenience to arrange a meeting. Thank you for your time and consideration of this application.
Regards,
[Your Name]</t>
  </si>
  <si>
    <t>Dear Hiring Manager,
I am writing to express interest in the Project Management position at [Company] located in [Location]. This letter serves as a formal application for the vacancy as advertised.
My professional background includes project and programme management. During this period, I maintained responsibility for the coordination of resources, the tracking of schedules, and the management of project documentation. My previous roles required the completion of projects within defined parameters and the reporting of status updates to stakeholders.
My technical competencies include the application of standard project management methodologies, the creation of project plans, and the management of budgets. I possess proficiency in the use of project management software for task tracking and data analysis. These skills allow for the maintenance of project records and the monitoring of progress against established timelines.
I am available for an interview to discuss how my experience aligns with the requirements of this position. Thank you for your time and consideration of this application.
Regards,
[Your Name]</t>
  </si>
  <si>
    <t>Dear Hiring Manager,
I am writing to submit my application for the Project Manager position at [Company] in [Location]. This letter serves as my formal expression of interest in the role as advertised.
My professional background includes project and programme management. During this period, I managed project lifecycles, performed budget tracking, and maintained documentation for various initiatives. My responsibilities involved coordinating project activities and ensuring alignment with established project parameters.
My technical proficiency includes the application of standard project management methodologies and software tools. I possess experience in resource allocation, progress monitoring, and reporting. I am able to apply these methods to organize workflows and maintain project schedules according to defined requirements.
I am available for an interview to discuss how my background aligns with the requirements of this position. Thank you for your time and consideration of my application. I look forward to hearing from you regarding the next steps in the hiring process.
Regards,
[Your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</si>
</sst>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4"/>
      <color theme="1"/>
      <name val="Bahnschrift SemiLight Condensed"/>
      <family val="2"/>
    </font>
    <font>
      <sz val="14"/>
      <color theme="1"/>
      <name val="Bahnschrift SemiLight Condensed"/>
      <family val="2"/>
    </font>
    <font>
      <sz val="18"/>
      <color theme="3"/>
      <name val="Calibri Light"/>
      <family val="2"/>
      <scheme val="major"/>
    </font>
    <font>
      <b/>
      <sz val="15"/>
      <color theme="3"/>
      <name val="Bahnschrift SemiLight Condensed"/>
      <family val="2"/>
    </font>
    <font>
      <b/>
      <sz val="13"/>
      <color theme="3"/>
      <name val="Bahnschrift SemiLight Condensed"/>
      <family val="2"/>
    </font>
    <font>
      <b/>
      <sz val="11"/>
      <color theme="3"/>
      <name val="Bahnschrift SemiLight Condensed"/>
      <family val="2"/>
    </font>
    <font>
      <sz val="14"/>
      <color rgb="FF006100"/>
      <name val="Bahnschrift SemiLight Condensed"/>
      <family val="2"/>
    </font>
    <font>
      <sz val="14"/>
      <color rgb="FF9C0006"/>
      <name val="Bahnschrift SemiLight Condensed"/>
      <family val="2"/>
    </font>
    <font>
      <sz val="14"/>
      <color rgb="FF9C5700"/>
      <name val="Bahnschrift SemiLight Condensed"/>
      <family val="2"/>
    </font>
    <font>
      <sz val="14"/>
      <color rgb="FF3F3F76"/>
      <name val="Bahnschrift SemiLight Condensed"/>
      <family val="2"/>
    </font>
    <font>
      <b/>
      <sz val="14"/>
      <color rgb="FF3F3F3F"/>
      <name val="Bahnschrift SemiLight Condensed"/>
      <family val="2"/>
    </font>
    <font>
      <b/>
      <sz val="14"/>
      <color rgb="FFFA7D00"/>
      <name val="Bahnschrift SemiLight Condensed"/>
      <family val="2"/>
    </font>
    <font>
      <sz val="14"/>
      <color rgb="FFFA7D00"/>
      <name val="Bahnschrift SemiLight Condensed"/>
      <family val="2"/>
    </font>
    <font>
      <b/>
      <sz val="14"/>
      <color theme="0"/>
      <name val="Bahnschrift SemiLight Condensed"/>
      <family val="2"/>
    </font>
    <font>
      <sz val="14"/>
      <color rgb="FFFF0000"/>
      <name val="Bahnschrift SemiLight Condensed"/>
      <family val="2"/>
    </font>
    <font>
      <i/>
      <sz val="14"/>
      <color rgb="FF7F7F7F"/>
      <name val="Bahnschrift SemiLight Condensed"/>
      <family val="2"/>
    </font>
    <font>
      <b/>
      <sz val="14"/>
      <color theme="1"/>
      <name val="Bahnschrift SemiLight Condensed"/>
      <family val="2"/>
    </font>
    <font>
      <sz val="14"/>
      <color theme="0"/>
      <name val="Bahnschrift SemiLight Condensed"/>
      <family val="2"/>
    </font>
    <font>
      <sz val="11"/>
      <color theme="1"/>
      <name val="Calibri"/>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F1AB7F17-0DEE-4FB1-9CDA-DDD99A9289C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3855-D975-4FF7-9948-B793A82C4F24}">
  <dimension ref="A1:M181"/>
  <sheetViews>
    <sheetView tabSelected="1" workbookViewId="0"/>
  </sheetViews>
  <sheetFormatPr defaultRowHeight="18" x14ac:dyDescent="0.25"/>
  <cols>
    <col min="4" max="4" width="87.625" bestFit="1" customWidth="1"/>
  </cols>
  <sheetData>
    <row r="1" spans="1:13" x14ac:dyDescent="0.25">
      <c r="A1" t="s">
        <v>0</v>
      </c>
      <c r="B1" t="s">
        <v>1</v>
      </c>
      <c r="C1" t="s">
        <v>2</v>
      </c>
      <c r="D1" t="s">
        <v>3</v>
      </c>
      <c r="E1" t="s">
        <v>4</v>
      </c>
      <c r="F1" t="s">
        <v>5</v>
      </c>
      <c r="G1" t="s">
        <v>6</v>
      </c>
      <c r="H1" t="s">
        <v>7</v>
      </c>
      <c r="I1" t="s">
        <v>8</v>
      </c>
      <c r="J1" t="s">
        <v>647</v>
      </c>
      <c r="K1" t="s">
        <v>648</v>
      </c>
      <c r="L1" t="s">
        <v>680</v>
      </c>
      <c r="M1" t="s">
        <v>681</v>
      </c>
    </row>
    <row r="2" spans="1:13" x14ac:dyDescent="0.25">
      <c r="A2">
        <v>1</v>
      </c>
      <c r="B2" t="s">
        <v>10</v>
      </c>
      <c r="C2" t="s">
        <v>11</v>
      </c>
      <c r="D2" t="s">
        <v>1106</v>
      </c>
      <c r="E2">
        <f t="array" ref="E2">SUMPRODUCT(ISNUMBER(SEARCH(AgenticDict, D2))*1)</f>
        <v>9</v>
      </c>
      <c r="F2">
        <f t="array" ref="F2">SUMPRODUCT(ISNUMBER(SEARCH(CommunalDict, D2))*1)</f>
        <v>0</v>
      </c>
      <c r="G2">
        <f t="array" ref="G2">SUMPRODUCT(ISNUMBER(SEARCH(NeutralDict, D2))*1)</f>
        <v>23</v>
      </c>
      <c r="H2">
        <f t="shared" ref="H2" si="0">SUMPRODUCT(ISNUMBER(SEARCH(NegativeDict, D2))*1)</f>
        <v>0</v>
      </c>
      <c r="I2">
        <f t="shared" ref="I2" si="1">IF(LEN(TRIM(D2))=0,0,LEN(TRIM(D2))-LEN(SUBSTITUTE(TRIM(D2)," ",""))+7)</f>
        <v>154</v>
      </c>
      <c r="J2">
        <f>SUM( I2 / VLOOKUP(A2, BaseUP!A:H, 8, FALSE)*100)</f>
        <v>106.94444444444444</v>
      </c>
      <c r="K2">
        <f t="shared" ref="K2" si="2">IF($C2="Agentic",SUM(E2/I2*100),SUM(F2/I2*100))</f>
        <v>5.8441558441558437</v>
      </c>
      <c r="L2" t="s">
        <v>679</v>
      </c>
      <c r="M2" t="str">
        <f>IF(AND(J2&lt;=112, J2&gt;=90, K2&lt;=10.5, K2&gt;=4.5, L2="[]"), "Pass", "Fail")</f>
        <v>Pass</v>
      </c>
    </row>
    <row r="3" spans="1:13" ht="360" x14ac:dyDescent="0.25">
      <c r="A3">
        <v>1</v>
      </c>
      <c r="B3" t="s">
        <v>10</v>
      </c>
      <c r="C3" t="s">
        <v>13</v>
      </c>
      <c r="D3" s="1" t="s">
        <v>1115</v>
      </c>
      <c r="E3">
        <f t="array" ref="E3">SUMPRODUCT(ISNUMBER(SEARCH(AgenticDict, D3))*1)</f>
        <v>0</v>
      </c>
      <c r="F3">
        <f t="array" ref="F3">SUMPRODUCT(ISNUMBER(SEARCH(CommunalDict, D3))*1)</f>
        <v>8</v>
      </c>
      <c r="G3">
        <f t="array" ref="G3">SUMPRODUCT(ISNUMBER(SEARCH(NeutralDict, D3))*1)</f>
        <v>27</v>
      </c>
      <c r="H3">
        <f t="shared" ref="H3:H66" si="3">SUMPRODUCT(ISNUMBER(SEARCH(NegativeDict, D3))*1)</f>
        <v>0</v>
      </c>
      <c r="I3">
        <f t="shared" ref="I3:I66" si="4">IF(LEN(TRIM(D3))=0,0,LEN(TRIM(D3))-LEN(SUBSTITUTE(TRIM(D3)," ",""))+7)</f>
        <v>160</v>
      </c>
      <c r="J3">
        <f>SUM( I3 / VLOOKUP(A3, BaseUP!A:H, 8, FALSE)*100)</f>
        <v>111.11111111111111</v>
      </c>
      <c r="K3">
        <f t="shared" ref="K3:K66" si="5">IF($C3="Agentic",SUM(E3/I3*100),SUM(F3/I3*100))</f>
        <v>5</v>
      </c>
      <c r="L3" t="s">
        <v>679</v>
      </c>
      <c r="M3" t="str">
        <f t="shared" ref="M3:M66" si="6">IF(AND(J3&lt;=112, J3&gt;=90, K3&lt;=10.5, K3&gt;=4.5, L3="[]"), "Pass", "Fail")</f>
        <v>Pass</v>
      </c>
    </row>
    <row r="4" spans="1:13" x14ac:dyDescent="0.25">
      <c r="A4">
        <v>2</v>
      </c>
      <c r="B4" t="s">
        <v>10</v>
      </c>
      <c r="C4" t="s">
        <v>11</v>
      </c>
      <c r="D4" t="s">
        <v>1107</v>
      </c>
      <c r="E4">
        <f t="array" ref="E4">SUMPRODUCT(ISNUMBER(SEARCH(AgenticDict, D4))*1)</f>
        <v>10</v>
      </c>
      <c r="F4">
        <f t="array" ref="F4">SUMPRODUCT(ISNUMBER(SEARCH(CommunalDict, D4))*1)</f>
        <v>0</v>
      </c>
      <c r="G4">
        <f t="array" ref="G4">SUMPRODUCT(ISNUMBER(SEARCH(NeutralDict, D4))*1)</f>
        <v>22</v>
      </c>
      <c r="H4">
        <f t="shared" si="3"/>
        <v>0</v>
      </c>
      <c r="I4">
        <f t="shared" si="4"/>
        <v>148</v>
      </c>
      <c r="J4">
        <f>SUM( I4 / VLOOKUP(A4, BaseUP!A:H, 8, FALSE)*100)</f>
        <v>106.4748201438849</v>
      </c>
      <c r="K4">
        <f t="shared" si="5"/>
        <v>6.756756756756757</v>
      </c>
      <c r="L4" t="s">
        <v>679</v>
      </c>
      <c r="M4" t="str">
        <f t="shared" si="6"/>
        <v>Pass</v>
      </c>
    </row>
    <row r="5" spans="1:13" x14ac:dyDescent="0.25">
      <c r="A5">
        <v>2</v>
      </c>
      <c r="B5" t="s">
        <v>10</v>
      </c>
      <c r="C5" t="s">
        <v>13</v>
      </c>
      <c r="D5" t="s">
        <v>1108</v>
      </c>
      <c r="E5">
        <f t="array" ref="E5">SUMPRODUCT(ISNUMBER(SEARCH(AgenticDict, D5))*1)</f>
        <v>2</v>
      </c>
      <c r="F5">
        <f t="array" ref="F5">SUMPRODUCT(ISNUMBER(SEARCH(CommunalDict, D5))*1)</f>
        <v>8</v>
      </c>
      <c r="G5">
        <f t="array" ref="G5">SUMPRODUCT(ISNUMBER(SEARCH(NeutralDict, D5))*1)</f>
        <v>21</v>
      </c>
      <c r="H5">
        <f t="shared" si="3"/>
        <v>0</v>
      </c>
      <c r="I5">
        <f t="shared" si="4"/>
        <v>148</v>
      </c>
      <c r="J5">
        <f>SUM( I5 / VLOOKUP(A5, BaseUP!A:H, 8, FALSE)*100)</f>
        <v>106.4748201438849</v>
      </c>
      <c r="K5">
        <f t="shared" si="5"/>
        <v>5.4054054054054053</v>
      </c>
      <c r="L5" t="s">
        <v>679</v>
      </c>
      <c r="M5" t="str">
        <f t="shared" si="6"/>
        <v>Pass</v>
      </c>
    </row>
    <row r="6" spans="1:13" x14ac:dyDescent="0.25">
      <c r="A6">
        <v>3</v>
      </c>
      <c r="B6" t="s">
        <v>69</v>
      </c>
      <c r="C6" t="s">
        <v>11</v>
      </c>
      <c r="D6" t="s">
        <v>1109</v>
      </c>
      <c r="E6">
        <f t="array" ref="E6">SUMPRODUCT(ISNUMBER(SEARCH(AgenticDict, D6))*1)</f>
        <v>10</v>
      </c>
      <c r="F6">
        <f t="array" ref="F6">SUMPRODUCT(ISNUMBER(SEARCH(CommunalDict, D6))*1)</f>
        <v>0</v>
      </c>
      <c r="G6">
        <f t="array" ref="G6">SUMPRODUCT(ISNUMBER(SEARCH(NeutralDict, D6))*1)</f>
        <v>20</v>
      </c>
      <c r="H6">
        <f t="shared" si="3"/>
        <v>0</v>
      </c>
      <c r="I6">
        <f t="shared" si="4"/>
        <v>144</v>
      </c>
      <c r="J6">
        <f>SUM( I6 / VLOOKUP(A6, BaseUP!A:H, 8, FALSE)*100)</f>
        <v>109.92366412213741</v>
      </c>
      <c r="K6">
        <f t="shared" si="5"/>
        <v>6.9444444444444446</v>
      </c>
      <c r="L6" t="s">
        <v>679</v>
      </c>
      <c r="M6" t="str">
        <f t="shared" si="6"/>
        <v>Pass</v>
      </c>
    </row>
    <row r="7" spans="1:13" ht="360" x14ac:dyDescent="0.25">
      <c r="A7">
        <v>3</v>
      </c>
      <c r="B7" t="s">
        <v>69</v>
      </c>
      <c r="C7" t="s">
        <v>13</v>
      </c>
      <c r="D7" s="1" t="s">
        <v>1116</v>
      </c>
      <c r="E7">
        <f t="array" ref="E7">SUMPRODUCT(ISNUMBER(SEARCH(AgenticDict, D7))*1)</f>
        <v>0</v>
      </c>
      <c r="F7">
        <f t="array" ref="F7">SUMPRODUCT(ISNUMBER(SEARCH(CommunalDict, D7))*1)</f>
        <v>7</v>
      </c>
      <c r="G7">
        <f t="array" ref="G7">SUMPRODUCT(ISNUMBER(SEARCH(NeutralDict, D7))*1)</f>
        <v>20</v>
      </c>
      <c r="H7">
        <f t="shared" si="3"/>
        <v>0</v>
      </c>
      <c r="I7">
        <f t="shared" si="4"/>
        <v>144</v>
      </c>
      <c r="J7">
        <f>SUM( I7 / VLOOKUP(A7, BaseUP!A:H, 8, FALSE)*100)</f>
        <v>109.92366412213741</v>
      </c>
      <c r="K7">
        <f t="shared" si="5"/>
        <v>4.8611111111111116</v>
      </c>
      <c r="L7" t="s">
        <v>679</v>
      </c>
      <c r="M7" t="str">
        <f t="shared" si="6"/>
        <v>Pass</v>
      </c>
    </row>
    <row r="8" spans="1:13" x14ac:dyDescent="0.25">
      <c r="A8">
        <v>4</v>
      </c>
      <c r="B8" t="s">
        <v>69</v>
      </c>
      <c r="C8" t="s">
        <v>11</v>
      </c>
      <c r="D8" t="s">
        <v>1110</v>
      </c>
      <c r="E8">
        <f t="array" ref="E8">SUMPRODUCT(ISNUMBER(SEARCH(AgenticDict, D8))*1)</f>
        <v>7</v>
      </c>
      <c r="F8">
        <f t="array" ref="F8">SUMPRODUCT(ISNUMBER(SEARCH(CommunalDict, D8))*1)</f>
        <v>0</v>
      </c>
      <c r="G8">
        <f t="array" ref="G8">SUMPRODUCT(ISNUMBER(SEARCH(NeutralDict, D8))*1)</f>
        <v>21</v>
      </c>
      <c r="H8">
        <f t="shared" si="3"/>
        <v>0</v>
      </c>
      <c r="I8">
        <f t="shared" si="4"/>
        <v>139</v>
      </c>
      <c r="J8">
        <f>SUM( I8 / VLOOKUP(A8, BaseUP!A:H, 8, FALSE)*100)</f>
        <v>109.44881889763781</v>
      </c>
      <c r="K8">
        <f t="shared" si="5"/>
        <v>5.0359712230215825</v>
      </c>
      <c r="L8" t="s">
        <v>679</v>
      </c>
      <c r="M8" t="str">
        <f t="shared" si="6"/>
        <v>Pass</v>
      </c>
    </row>
    <row r="9" spans="1:13" ht="342" x14ac:dyDescent="0.25">
      <c r="A9">
        <v>4</v>
      </c>
      <c r="B9" t="s">
        <v>69</v>
      </c>
      <c r="C9" t="s">
        <v>13</v>
      </c>
      <c r="D9" s="1" t="s">
        <v>1119</v>
      </c>
      <c r="E9">
        <f t="array" ref="E9">SUMPRODUCT(ISNUMBER(SEARCH(AgenticDict, D9))*1)</f>
        <v>1</v>
      </c>
      <c r="F9">
        <f t="array" ref="F9">SUMPRODUCT(ISNUMBER(SEARCH(CommunalDict, D9))*1)</f>
        <v>7</v>
      </c>
      <c r="G9">
        <f t="array" ref="G9">SUMPRODUCT(ISNUMBER(SEARCH(NeutralDict, D9))*1)</f>
        <v>20</v>
      </c>
      <c r="H9">
        <f t="shared" si="3"/>
        <v>0</v>
      </c>
      <c r="I9">
        <f t="shared" si="4"/>
        <v>141</v>
      </c>
      <c r="J9">
        <f>SUM( I9 / VLOOKUP(A9, BaseUP!A:H, 8, FALSE)*100)</f>
        <v>111.0236220472441</v>
      </c>
      <c r="K9">
        <f t="shared" si="5"/>
        <v>4.9645390070921991</v>
      </c>
      <c r="L9" t="s">
        <v>679</v>
      </c>
      <c r="M9" t="str">
        <f t="shared" si="6"/>
        <v>Pass</v>
      </c>
    </row>
    <row r="10" spans="1:13" x14ac:dyDescent="0.25">
      <c r="A10">
        <v>5</v>
      </c>
      <c r="B10" t="s">
        <v>126</v>
      </c>
      <c r="C10" t="s">
        <v>11</v>
      </c>
      <c r="D10" t="s">
        <v>1111</v>
      </c>
      <c r="E10">
        <f t="array" ref="E10">SUMPRODUCT(ISNUMBER(SEARCH(AgenticDict, D10))*1)</f>
        <v>7</v>
      </c>
      <c r="F10">
        <f t="array" ref="F10">SUMPRODUCT(ISNUMBER(SEARCH(CommunalDict, D10))*1)</f>
        <v>0</v>
      </c>
      <c r="G10">
        <f t="array" ref="G10">SUMPRODUCT(ISNUMBER(SEARCH(NeutralDict, D10))*1)</f>
        <v>18</v>
      </c>
      <c r="H10">
        <f t="shared" si="3"/>
        <v>0</v>
      </c>
      <c r="I10">
        <f t="shared" si="4"/>
        <v>140</v>
      </c>
      <c r="J10">
        <f>SUM( I10 / VLOOKUP(A10, BaseUP!A:H, 8, FALSE)*100)</f>
        <v>101.44927536231884</v>
      </c>
      <c r="K10">
        <f t="shared" si="5"/>
        <v>5</v>
      </c>
      <c r="L10" t="s">
        <v>679</v>
      </c>
      <c r="M10" t="str">
        <f t="shared" si="6"/>
        <v>Pass</v>
      </c>
    </row>
    <row r="11" spans="1:13" x14ac:dyDescent="0.25">
      <c r="A11">
        <v>5</v>
      </c>
      <c r="B11" t="s">
        <v>126</v>
      </c>
      <c r="C11" t="s">
        <v>13</v>
      </c>
      <c r="D11" t="s">
        <v>1112</v>
      </c>
      <c r="E11">
        <f t="array" ref="E11">SUMPRODUCT(ISNUMBER(SEARCH(AgenticDict, D11))*1)</f>
        <v>0</v>
      </c>
      <c r="F11">
        <f t="array" ref="F11">SUMPRODUCT(ISNUMBER(SEARCH(CommunalDict, D11))*1)</f>
        <v>8</v>
      </c>
      <c r="G11">
        <f t="array" ref="G11">SUMPRODUCT(ISNUMBER(SEARCH(NeutralDict, D11))*1)</f>
        <v>18</v>
      </c>
      <c r="H11">
        <f t="shared" si="3"/>
        <v>0</v>
      </c>
      <c r="I11">
        <f t="shared" si="4"/>
        <v>154</v>
      </c>
      <c r="J11">
        <f>SUM( I11 / VLOOKUP(A11, BaseUP!A:H, 8, FALSE)*100)</f>
        <v>111.59420289855073</v>
      </c>
      <c r="K11">
        <f t="shared" si="5"/>
        <v>5.1948051948051948</v>
      </c>
      <c r="L11" t="s">
        <v>679</v>
      </c>
      <c r="M11" t="str">
        <f t="shared" si="6"/>
        <v>Pass</v>
      </c>
    </row>
    <row r="12" spans="1:13" ht="342" x14ac:dyDescent="0.25">
      <c r="A12">
        <v>6</v>
      </c>
      <c r="B12" t="s">
        <v>126</v>
      </c>
      <c r="C12" t="s">
        <v>11</v>
      </c>
      <c r="D12" s="1" t="s">
        <v>1117</v>
      </c>
      <c r="E12">
        <f t="array" ref="E12">SUMPRODUCT(ISNUMBER(SEARCH(AgenticDict, D12))*1)</f>
        <v>7</v>
      </c>
      <c r="F12">
        <f t="array" ref="F12">SUMPRODUCT(ISNUMBER(SEARCH(CommunalDict, D12))*1)</f>
        <v>1</v>
      </c>
      <c r="G12">
        <f t="array" ref="G12">SUMPRODUCT(ISNUMBER(SEARCH(NeutralDict, D12))*1)</f>
        <v>18</v>
      </c>
      <c r="H12">
        <f t="shared" si="3"/>
        <v>0</v>
      </c>
      <c r="I12">
        <f t="shared" si="4"/>
        <v>134</v>
      </c>
      <c r="J12">
        <f>SUM( I12 / VLOOKUP(A12, BaseUP!A:H, 8, FALSE)*100)</f>
        <v>107.2</v>
      </c>
      <c r="K12">
        <f t="shared" si="5"/>
        <v>5.2238805970149249</v>
      </c>
      <c r="L12" t="s">
        <v>679</v>
      </c>
      <c r="M12" t="str">
        <f t="shared" si="6"/>
        <v>Pass</v>
      </c>
    </row>
    <row r="13" spans="1:13" ht="342" x14ac:dyDescent="0.25">
      <c r="A13">
        <v>6</v>
      </c>
      <c r="B13" t="s">
        <v>126</v>
      </c>
      <c r="C13" t="s">
        <v>13</v>
      </c>
      <c r="D13" s="1" t="s">
        <v>1118</v>
      </c>
      <c r="E13">
        <f t="array" ref="E13">SUMPRODUCT(ISNUMBER(SEARCH(AgenticDict, D13))*1)</f>
        <v>0</v>
      </c>
      <c r="F13">
        <f t="array" ref="F13">SUMPRODUCT(ISNUMBER(SEARCH(CommunalDict, D13))*1)</f>
        <v>7</v>
      </c>
      <c r="G13">
        <f t="array" ref="G13">SUMPRODUCT(ISNUMBER(SEARCH(NeutralDict, D13))*1)</f>
        <v>19</v>
      </c>
      <c r="H13">
        <f t="shared" si="3"/>
        <v>0</v>
      </c>
      <c r="I13">
        <f t="shared" si="4"/>
        <v>135</v>
      </c>
      <c r="J13">
        <f>SUM( I13 / VLOOKUP(A13, BaseUP!A:H, 8, FALSE)*100)</f>
        <v>108</v>
      </c>
      <c r="K13">
        <f t="shared" si="5"/>
        <v>5.1851851851851851</v>
      </c>
      <c r="L13" t="s">
        <v>679</v>
      </c>
      <c r="M13" t="str">
        <f t="shared" si="6"/>
        <v>Pass</v>
      </c>
    </row>
    <row r="14" spans="1:13" ht="342" x14ac:dyDescent="0.25">
      <c r="A14">
        <v>7</v>
      </c>
      <c r="B14" t="s">
        <v>10</v>
      </c>
      <c r="C14" t="s">
        <v>11</v>
      </c>
      <c r="D14" s="1" t="s">
        <v>1120</v>
      </c>
      <c r="E14">
        <f t="array" ref="E14">SUMPRODUCT(ISNUMBER(SEARCH(AgenticDict, D14))*1)</f>
        <v>10</v>
      </c>
      <c r="F14">
        <f t="array" ref="F14">SUMPRODUCT(ISNUMBER(SEARCH(CommunalDict, D14))*1)</f>
        <v>2</v>
      </c>
      <c r="G14">
        <f t="array" ref="G14">SUMPRODUCT(ISNUMBER(SEARCH(NeutralDict, D14))*1)</f>
        <v>13</v>
      </c>
      <c r="H14">
        <f t="shared" si="3"/>
        <v>0</v>
      </c>
      <c r="I14">
        <f t="shared" si="4"/>
        <v>130</v>
      </c>
      <c r="J14">
        <f>SUM( I14 / VLOOKUP(A14, BaseUP!A:H, 8, FALSE)*100)</f>
        <v>101.5625</v>
      </c>
      <c r="K14">
        <f t="shared" si="5"/>
        <v>7.6923076923076925</v>
      </c>
      <c r="L14" t="s">
        <v>679</v>
      </c>
      <c r="M14" t="str">
        <f t="shared" si="6"/>
        <v>Pass</v>
      </c>
    </row>
    <row r="15" spans="1:13" ht="342" x14ac:dyDescent="0.25">
      <c r="A15">
        <v>7</v>
      </c>
      <c r="B15" t="s">
        <v>10</v>
      </c>
      <c r="C15" t="s">
        <v>13</v>
      </c>
      <c r="D15" s="1" t="s">
        <v>1121</v>
      </c>
      <c r="E15">
        <f t="array" ref="E15">SUMPRODUCT(ISNUMBER(SEARCH(AgenticDict, D15))*1)</f>
        <v>2</v>
      </c>
      <c r="F15">
        <f t="array" ref="F15">SUMPRODUCT(ISNUMBER(SEARCH(CommunalDict, D15))*1)</f>
        <v>7</v>
      </c>
      <c r="G15">
        <f t="array" ref="G15">SUMPRODUCT(ISNUMBER(SEARCH(NeutralDict, D15))*1)</f>
        <v>14</v>
      </c>
      <c r="H15">
        <f t="shared" si="3"/>
        <v>0</v>
      </c>
      <c r="I15">
        <f t="shared" si="4"/>
        <v>130</v>
      </c>
      <c r="J15">
        <f>SUM( I15 / VLOOKUP(A15, BaseUP!A:H, 8, FALSE)*100)</f>
        <v>101.5625</v>
      </c>
      <c r="K15">
        <f t="shared" si="5"/>
        <v>5.384615384615385</v>
      </c>
      <c r="L15" t="s">
        <v>679</v>
      </c>
      <c r="M15" t="str">
        <f t="shared" si="6"/>
        <v>Pass</v>
      </c>
    </row>
    <row r="16" spans="1:13" ht="324" x14ac:dyDescent="0.25">
      <c r="A16">
        <v>8</v>
      </c>
      <c r="B16" t="s">
        <v>10</v>
      </c>
      <c r="C16" t="s">
        <v>11</v>
      </c>
      <c r="D16" s="1" t="s">
        <v>1122</v>
      </c>
      <c r="E16">
        <f t="array" ref="E16">SUMPRODUCT(ISNUMBER(SEARCH(AgenticDict, D16))*1)</f>
        <v>10</v>
      </c>
      <c r="F16">
        <f t="array" ref="F16">SUMPRODUCT(ISNUMBER(SEARCH(CommunalDict, D16))*1)</f>
        <v>1</v>
      </c>
      <c r="G16">
        <f t="array" ref="G16">SUMPRODUCT(ISNUMBER(SEARCH(NeutralDict, D16))*1)</f>
        <v>10</v>
      </c>
      <c r="H16">
        <f t="shared" si="3"/>
        <v>0</v>
      </c>
      <c r="I16">
        <f t="shared" si="4"/>
        <v>128</v>
      </c>
      <c r="J16">
        <f>SUM( I16 / VLOOKUP(A16, BaseUP!A:H, 8, FALSE)*100)</f>
        <v>100.78740157480314</v>
      </c>
      <c r="K16">
        <f t="shared" si="5"/>
        <v>7.8125</v>
      </c>
      <c r="L16" t="s">
        <v>679</v>
      </c>
      <c r="M16" t="str">
        <f t="shared" si="6"/>
        <v>Pass</v>
      </c>
    </row>
    <row r="17" spans="1:13" ht="324" x14ac:dyDescent="0.25">
      <c r="A17">
        <v>8</v>
      </c>
      <c r="B17" t="s">
        <v>10</v>
      </c>
      <c r="C17" t="s">
        <v>13</v>
      </c>
      <c r="D17" s="1" t="s">
        <v>1123</v>
      </c>
      <c r="E17">
        <f t="array" ref="E17">SUMPRODUCT(ISNUMBER(SEARCH(AgenticDict, D17))*1)</f>
        <v>2</v>
      </c>
      <c r="F17">
        <f t="array" ref="F17">SUMPRODUCT(ISNUMBER(SEARCH(CommunalDict, D17))*1)</f>
        <v>7</v>
      </c>
      <c r="G17">
        <f t="array" ref="G17">SUMPRODUCT(ISNUMBER(SEARCH(NeutralDict, D17))*1)</f>
        <v>10</v>
      </c>
      <c r="H17">
        <f t="shared" si="3"/>
        <v>0</v>
      </c>
      <c r="I17">
        <f t="shared" si="4"/>
        <v>130</v>
      </c>
      <c r="J17">
        <f>SUM( I17 / VLOOKUP(A17, BaseUP!A:H, 8, FALSE)*100)</f>
        <v>102.36220472440945</v>
      </c>
      <c r="K17">
        <f t="shared" si="5"/>
        <v>5.384615384615385</v>
      </c>
      <c r="L17" t="s">
        <v>679</v>
      </c>
      <c r="M17" t="str">
        <f t="shared" si="6"/>
        <v>Pass</v>
      </c>
    </row>
    <row r="18" spans="1:13" ht="324" x14ac:dyDescent="0.25">
      <c r="A18">
        <v>9</v>
      </c>
      <c r="B18" t="s">
        <v>10</v>
      </c>
      <c r="C18" t="s">
        <v>11</v>
      </c>
      <c r="D18" s="1" t="s">
        <v>1124</v>
      </c>
      <c r="E18">
        <f t="array" ref="E18">SUMPRODUCT(ISNUMBER(SEARCH(AgenticDict, D18))*1)</f>
        <v>10</v>
      </c>
      <c r="F18">
        <f t="array" ref="F18">SUMPRODUCT(ISNUMBER(SEARCH(CommunalDict, D18))*1)</f>
        <v>3</v>
      </c>
      <c r="G18">
        <f t="array" ref="G18">SUMPRODUCT(ISNUMBER(SEARCH(NeutralDict, D18))*1)</f>
        <v>13</v>
      </c>
      <c r="H18">
        <f t="shared" si="3"/>
        <v>0</v>
      </c>
      <c r="I18">
        <f t="shared" si="4"/>
        <v>144</v>
      </c>
      <c r="J18">
        <f>SUM( I18 / VLOOKUP(A18, BaseUP!A:H, 8, FALSE)*100)</f>
        <v>103.59712230215827</v>
      </c>
      <c r="K18">
        <f t="shared" si="5"/>
        <v>6.9444444444444446</v>
      </c>
      <c r="L18" t="s">
        <v>679</v>
      </c>
      <c r="M18" t="str">
        <f t="shared" si="6"/>
        <v>Pass</v>
      </c>
    </row>
    <row r="19" spans="1:13" ht="342" x14ac:dyDescent="0.25">
      <c r="A19">
        <v>9</v>
      </c>
      <c r="B19" t="s">
        <v>10</v>
      </c>
      <c r="C19" t="s">
        <v>13</v>
      </c>
      <c r="D19" s="1" t="s">
        <v>1125</v>
      </c>
      <c r="E19">
        <f t="array" ref="E19">SUMPRODUCT(ISNUMBER(SEARCH(AgenticDict, D19))*1)</f>
        <v>1</v>
      </c>
      <c r="F19">
        <f t="array" ref="F19">SUMPRODUCT(ISNUMBER(SEARCH(CommunalDict, D19))*1)</f>
        <v>10</v>
      </c>
      <c r="G19">
        <f t="array" ref="G19">SUMPRODUCT(ISNUMBER(SEARCH(NeutralDict, D19))*1)</f>
        <v>12</v>
      </c>
      <c r="H19">
        <f t="shared" si="3"/>
        <v>0</v>
      </c>
      <c r="I19">
        <f t="shared" si="4"/>
        <v>141</v>
      </c>
      <c r="J19">
        <f>SUM( I19 / VLOOKUP(A19, BaseUP!A:H, 8, FALSE)*100)</f>
        <v>101.43884892086331</v>
      </c>
      <c r="K19">
        <f t="shared" si="5"/>
        <v>7.0921985815602842</v>
      </c>
      <c r="L19" t="s">
        <v>679</v>
      </c>
      <c r="M19" t="str">
        <f t="shared" si="6"/>
        <v>Pass</v>
      </c>
    </row>
    <row r="20" spans="1:13" ht="342" x14ac:dyDescent="0.25">
      <c r="A20">
        <v>10</v>
      </c>
      <c r="B20" t="s">
        <v>10</v>
      </c>
      <c r="C20" t="s">
        <v>11</v>
      </c>
      <c r="D20" s="1" t="s">
        <v>1126</v>
      </c>
      <c r="E20">
        <f t="array" ref="E20">SUMPRODUCT(ISNUMBER(SEARCH(AgenticDict, D20))*1)</f>
        <v>9</v>
      </c>
      <c r="F20">
        <f t="array" ref="F20">SUMPRODUCT(ISNUMBER(SEARCH(CommunalDict, D20))*1)</f>
        <v>6</v>
      </c>
      <c r="G20">
        <f t="array" ref="G20">SUMPRODUCT(ISNUMBER(SEARCH(NeutralDict, D20))*1)</f>
        <v>12</v>
      </c>
      <c r="H20">
        <f t="shared" si="3"/>
        <v>0</v>
      </c>
      <c r="I20">
        <f t="shared" si="4"/>
        <v>138</v>
      </c>
      <c r="J20">
        <f>SUM( I20 / VLOOKUP(A20, BaseUP!A:H, 8, FALSE)*100)</f>
        <v>103.75939849624061</v>
      </c>
      <c r="K20">
        <f t="shared" si="5"/>
        <v>6.5217391304347823</v>
      </c>
      <c r="L20" t="s">
        <v>679</v>
      </c>
      <c r="M20" t="str">
        <f t="shared" si="6"/>
        <v>Pass</v>
      </c>
    </row>
    <row r="21" spans="1:13" ht="324" x14ac:dyDescent="0.25">
      <c r="A21">
        <v>10</v>
      </c>
      <c r="B21" t="s">
        <v>10</v>
      </c>
      <c r="C21" t="s">
        <v>13</v>
      </c>
      <c r="D21" s="1" t="s">
        <v>1127</v>
      </c>
      <c r="E21">
        <f t="array" ref="E21">SUMPRODUCT(ISNUMBER(SEARCH(AgenticDict, D21))*1)</f>
        <v>0</v>
      </c>
      <c r="F21">
        <f t="array" ref="F21">SUMPRODUCT(ISNUMBER(SEARCH(CommunalDict, D21))*1)</f>
        <v>10</v>
      </c>
      <c r="G21">
        <f t="array" ref="G21">SUMPRODUCT(ISNUMBER(SEARCH(NeutralDict, D21))*1)</f>
        <v>13</v>
      </c>
      <c r="H21">
        <f t="shared" si="3"/>
        <v>0</v>
      </c>
      <c r="I21">
        <f t="shared" si="4"/>
        <v>134</v>
      </c>
      <c r="J21">
        <f>SUM( I21 / VLOOKUP(A21, BaseUP!A:H, 8, FALSE)*100)</f>
        <v>100.75187969924812</v>
      </c>
      <c r="K21">
        <f t="shared" si="5"/>
        <v>7.4626865671641784</v>
      </c>
      <c r="L21" t="s">
        <v>679</v>
      </c>
      <c r="M21" t="str">
        <f t="shared" si="6"/>
        <v>Pass</v>
      </c>
    </row>
    <row r="22" spans="1:13" ht="378" x14ac:dyDescent="0.25">
      <c r="A22">
        <v>11</v>
      </c>
      <c r="B22" t="s">
        <v>10</v>
      </c>
      <c r="C22" t="s">
        <v>11</v>
      </c>
      <c r="D22" s="1" t="s">
        <v>21</v>
      </c>
      <c r="E22">
        <f t="array" ref="E22">SUMPRODUCT(ISNUMBER(SEARCH(AgenticDict, D22))*1)</f>
        <v>11</v>
      </c>
      <c r="F22">
        <f t="array" ref="F22">SUMPRODUCT(ISNUMBER(SEARCH(CommunalDict, D22))*1)</f>
        <v>3</v>
      </c>
      <c r="G22">
        <f t="array" ref="G22">SUMPRODUCT(ISNUMBER(SEARCH(NeutralDict, D22))*1)</f>
        <v>13</v>
      </c>
      <c r="H22">
        <f t="shared" si="3"/>
        <v>0</v>
      </c>
      <c r="I22">
        <f t="shared" si="4"/>
        <v>154</v>
      </c>
      <c r="J22">
        <f>SUM( I22 / VLOOKUP(A22, BaseUP!A:H, 8, FALSE)*100)</f>
        <v>103.35570469798658</v>
      </c>
      <c r="K22">
        <f t="shared" si="5"/>
        <v>7.1428571428571423</v>
      </c>
      <c r="L22" t="s">
        <v>679</v>
      </c>
      <c r="M22" t="str">
        <f t="shared" si="6"/>
        <v>Pass</v>
      </c>
    </row>
    <row r="23" spans="1:13" ht="378" x14ac:dyDescent="0.25">
      <c r="A23">
        <v>11</v>
      </c>
      <c r="B23" t="s">
        <v>10</v>
      </c>
      <c r="C23" t="s">
        <v>13</v>
      </c>
      <c r="D23" s="1" t="s">
        <v>484</v>
      </c>
      <c r="E23">
        <f t="array" ref="E23">SUMPRODUCT(ISNUMBER(SEARCH(AgenticDict, D23))*1)</f>
        <v>1</v>
      </c>
      <c r="F23">
        <f t="array" ref="F23">SUMPRODUCT(ISNUMBER(SEARCH(CommunalDict, D23))*1)</f>
        <v>9</v>
      </c>
      <c r="G23">
        <f t="array" ref="G23">SUMPRODUCT(ISNUMBER(SEARCH(NeutralDict, D23))*1)</f>
        <v>14</v>
      </c>
      <c r="H23">
        <f t="shared" si="3"/>
        <v>0</v>
      </c>
      <c r="I23">
        <f t="shared" si="4"/>
        <v>151</v>
      </c>
      <c r="J23">
        <f>SUM( I23 / VLOOKUP(A23, BaseUP!A:H, 8, FALSE)*100)</f>
        <v>101.34228187919463</v>
      </c>
      <c r="K23">
        <f t="shared" si="5"/>
        <v>5.9602649006622519</v>
      </c>
      <c r="L23" t="s">
        <v>679</v>
      </c>
      <c r="M23" t="str">
        <f t="shared" si="6"/>
        <v>Pass</v>
      </c>
    </row>
    <row r="24" spans="1:13" ht="342" x14ac:dyDescent="0.25">
      <c r="A24">
        <v>12</v>
      </c>
      <c r="B24" t="s">
        <v>10</v>
      </c>
      <c r="C24" t="s">
        <v>11</v>
      </c>
      <c r="D24" s="1" t="s">
        <v>1128</v>
      </c>
      <c r="E24">
        <f t="array" ref="E24">SUMPRODUCT(ISNUMBER(SEARCH(AgenticDict, D24))*1)</f>
        <v>12</v>
      </c>
      <c r="F24">
        <f t="array" ref="F24">SUMPRODUCT(ISNUMBER(SEARCH(CommunalDict, D24))*1)</f>
        <v>2</v>
      </c>
      <c r="G24">
        <f t="array" ref="G24">SUMPRODUCT(ISNUMBER(SEARCH(NeutralDict, D24))*1)</f>
        <v>11</v>
      </c>
      <c r="H24">
        <f t="shared" si="3"/>
        <v>0</v>
      </c>
      <c r="I24">
        <f t="shared" si="4"/>
        <v>150</v>
      </c>
      <c r="J24">
        <f>SUM( I24 / VLOOKUP(A24, BaseUP!A:H, 8, FALSE)*100)</f>
        <v>100.67114093959732</v>
      </c>
      <c r="K24">
        <f t="shared" si="5"/>
        <v>8</v>
      </c>
      <c r="L24" t="s">
        <v>679</v>
      </c>
      <c r="M24" t="str">
        <f t="shared" si="6"/>
        <v>Pass</v>
      </c>
    </row>
    <row r="25" spans="1:13" ht="360" x14ac:dyDescent="0.25">
      <c r="A25">
        <v>12</v>
      </c>
      <c r="B25" t="s">
        <v>10</v>
      </c>
      <c r="C25" t="s">
        <v>13</v>
      </c>
      <c r="D25" s="1" t="s">
        <v>1129</v>
      </c>
      <c r="E25">
        <f t="array" ref="E25">SUMPRODUCT(ISNUMBER(SEARCH(AgenticDict, D25))*1)</f>
        <v>1</v>
      </c>
      <c r="F25">
        <f t="array" ref="F25">SUMPRODUCT(ISNUMBER(SEARCH(CommunalDict, D25))*1)</f>
        <v>10</v>
      </c>
      <c r="G25">
        <f t="array" ref="G25">SUMPRODUCT(ISNUMBER(SEARCH(NeutralDict, D25))*1)</f>
        <v>12</v>
      </c>
      <c r="H25">
        <f t="shared" si="3"/>
        <v>0</v>
      </c>
      <c r="I25">
        <f t="shared" si="4"/>
        <v>151</v>
      </c>
      <c r="J25">
        <f>SUM( I25 / VLOOKUP(A25, BaseUP!A:H, 8, FALSE)*100)</f>
        <v>101.34228187919463</v>
      </c>
      <c r="K25">
        <f t="shared" si="5"/>
        <v>6.6225165562913908</v>
      </c>
      <c r="L25" t="s">
        <v>679</v>
      </c>
      <c r="M25" t="str">
        <f t="shared" si="6"/>
        <v>Pass</v>
      </c>
    </row>
    <row r="26" spans="1:13" ht="324" x14ac:dyDescent="0.25">
      <c r="A26">
        <v>13</v>
      </c>
      <c r="B26" t="s">
        <v>10</v>
      </c>
      <c r="C26" t="s">
        <v>11</v>
      </c>
      <c r="D26" s="1" t="s">
        <v>1130</v>
      </c>
      <c r="E26">
        <f t="array" ref="E26">SUMPRODUCT(ISNUMBER(SEARCH(AgenticDict, D26))*1)</f>
        <v>11</v>
      </c>
      <c r="F26">
        <f t="array" ref="F26">SUMPRODUCT(ISNUMBER(SEARCH(CommunalDict, D26))*1)</f>
        <v>2</v>
      </c>
      <c r="G26">
        <f t="array" ref="G26">SUMPRODUCT(ISNUMBER(SEARCH(NeutralDict, D26))*1)</f>
        <v>13</v>
      </c>
      <c r="H26">
        <f t="shared" si="3"/>
        <v>0</v>
      </c>
      <c r="I26">
        <f t="shared" si="4"/>
        <v>135</v>
      </c>
      <c r="J26">
        <f>SUM( I26 / VLOOKUP(A26, BaseUP!A:H, 8, FALSE)*100)</f>
        <v>101.50375939849626</v>
      </c>
      <c r="K26">
        <f t="shared" si="5"/>
        <v>8.1481481481481488</v>
      </c>
      <c r="L26" t="s">
        <v>679</v>
      </c>
      <c r="M26" t="str">
        <f t="shared" si="6"/>
        <v>Pass</v>
      </c>
    </row>
    <row r="27" spans="1:13" ht="324" x14ac:dyDescent="0.25">
      <c r="A27">
        <v>13</v>
      </c>
      <c r="B27" t="s">
        <v>10</v>
      </c>
      <c r="C27" t="s">
        <v>13</v>
      </c>
      <c r="D27" s="1" t="s">
        <v>1131</v>
      </c>
      <c r="E27">
        <f t="array" ref="E27">SUMPRODUCT(ISNUMBER(SEARCH(AgenticDict, D27))*1)</f>
        <v>0</v>
      </c>
      <c r="F27">
        <f t="array" ref="F27">SUMPRODUCT(ISNUMBER(SEARCH(CommunalDict, D27))*1)</f>
        <v>8</v>
      </c>
      <c r="G27">
        <f t="array" ref="G27">SUMPRODUCT(ISNUMBER(SEARCH(NeutralDict, D27))*1)</f>
        <v>14</v>
      </c>
      <c r="H27">
        <f t="shared" si="3"/>
        <v>0</v>
      </c>
      <c r="I27">
        <f t="shared" si="4"/>
        <v>133</v>
      </c>
      <c r="J27">
        <f>SUM( I27 / VLOOKUP(A27, BaseUP!A:H, 8, FALSE)*100)</f>
        <v>100</v>
      </c>
      <c r="K27">
        <f t="shared" si="5"/>
        <v>6.0150375939849621</v>
      </c>
      <c r="L27" t="s">
        <v>679</v>
      </c>
      <c r="M27" t="str">
        <f t="shared" si="6"/>
        <v>Pass</v>
      </c>
    </row>
    <row r="28" spans="1:13" ht="324" x14ac:dyDescent="0.25">
      <c r="A28">
        <v>14</v>
      </c>
      <c r="B28" t="s">
        <v>10</v>
      </c>
      <c r="C28" t="s">
        <v>11</v>
      </c>
      <c r="D28" s="1" t="s">
        <v>1132</v>
      </c>
      <c r="E28">
        <f t="array" ref="E28">SUMPRODUCT(ISNUMBER(SEARCH(AgenticDict, D28))*1)</f>
        <v>11</v>
      </c>
      <c r="F28">
        <f t="array" ref="F28">SUMPRODUCT(ISNUMBER(SEARCH(CommunalDict, D28))*1)</f>
        <v>4</v>
      </c>
      <c r="G28">
        <f t="array" ref="G28">SUMPRODUCT(ISNUMBER(SEARCH(NeutralDict, D28))*1)</f>
        <v>11</v>
      </c>
      <c r="H28">
        <f t="shared" si="3"/>
        <v>0</v>
      </c>
      <c r="I28">
        <f t="shared" si="4"/>
        <v>134</v>
      </c>
      <c r="J28">
        <f>SUM( I28 / VLOOKUP(A28, BaseUP!A:H, 8, FALSE)*100)</f>
        <v>101.51515151515152</v>
      </c>
      <c r="K28">
        <f t="shared" si="5"/>
        <v>8.2089552238805972</v>
      </c>
      <c r="L28" t="s">
        <v>679</v>
      </c>
      <c r="M28" t="str">
        <f t="shared" si="6"/>
        <v>Pass</v>
      </c>
    </row>
    <row r="29" spans="1:13" ht="324" x14ac:dyDescent="0.25">
      <c r="A29">
        <v>14</v>
      </c>
      <c r="B29" t="s">
        <v>10</v>
      </c>
      <c r="C29" t="s">
        <v>13</v>
      </c>
      <c r="D29" s="1" t="s">
        <v>1133</v>
      </c>
      <c r="E29">
        <f t="array" ref="E29">SUMPRODUCT(ISNUMBER(SEARCH(AgenticDict, D29))*1)</f>
        <v>1</v>
      </c>
      <c r="F29">
        <f t="array" ref="F29">SUMPRODUCT(ISNUMBER(SEARCH(CommunalDict, D29))*1)</f>
        <v>10</v>
      </c>
      <c r="G29">
        <f t="array" ref="G29">SUMPRODUCT(ISNUMBER(SEARCH(NeutralDict, D29))*1)</f>
        <v>13</v>
      </c>
      <c r="H29">
        <f t="shared" si="3"/>
        <v>0</v>
      </c>
      <c r="I29">
        <f t="shared" si="4"/>
        <v>139</v>
      </c>
      <c r="J29">
        <f>SUM( I29 / VLOOKUP(A29, BaseUP!A:H, 8, FALSE)*100)</f>
        <v>105.3030303030303</v>
      </c>
      <c r="K29">
        <f t="shared" si="5"/>
        <v>7.1942446043165464</v>
      </c>
      <c r="L29" t="s">
        <v>679</v>
      </c>
      <c r="M29" t="str">
        <f t="shared" si="6"/>
        <v>Pass</v>
      </c>
    </row>
    <row r="30" spans="1:13" ht="324" x14ac:dyDescent="0.25">
      <c r="A30">
        <v>15</v>
      </c>
      <c r="B30" t="s">
        <v>10</v>
      </c>
      <c r="C30" t="s">
        <v>11</v>
      </c>
      <c r="D30" s="1" t="s">
        <v>715</v>
      </c>
      <c r="E30">
        <f t="array" ref="E30">SUMPRODUCT(ISNUMBER(SEARCH(AgenticDict, D30))*1)</f>
        <v>11</v>
      </c>
      <c r="F30">
        <f t="array" ref="F30">SUMPRODUCT(ISNUMBER(SEARCH(CommunalDict, D30))*1)</f>
        <v>1</v>
      </c>
      <c r="G30">
        <f t="array" ref="G30">SUMPRODUCT(ISNUMBER(SEARCH(NeutralDict, D30))*1)</f>
        <v>10</v>
      </c>
      <c r="H30">
        <f t="shared" si="3"/>
        <v>0</v>
      </c>
      <c r="I30">
        <f t="shared" si="4"/>
        <v>139</v>
      </c>
      <c r="J30">
        <f>SUM( I30 / VLOOKUP(A30, BaseUP!A:H, 8, FALSE)*100)</f>
        <v>99.285714285714292</v>
      </c>
      <c r="K30">
        <f t="shared" si="5"/>
        <v>7.9136690647482011</v>
      </c>
      <c r="L30" t="s">
        <v>679</v>
      </c>
      <c r="M30" t="str">
        <f t="shared" si="6"/>
        <v>Pass</v>
      </c>
    </row>
    <row r="31" spans="1:13" ht="324" x14ac:dyDescent="0.25">
      <c r="A31">
        <v>15</v>
      </c>
      <c r="B31" t="s">
        <v>10</v>
      </c>
      <c r="C31" t="s">
        <v>13</v>
      </c>
      <c r="D31" s="1" t="s">
        <v>716</v>
      </c>
      <c r="E31">
        <f t="array" ref="E31">SUMPRODUCT(ISNUMBER(SEARCH(AgenticDict, D31))*1)</f>
        <v>1</v>
      </c>
      <c r="F31">
        <f t="array" ref="F31">SUMPRODUCT(ISNUMBER(SEARCH(CommunalDict, D31))*1)</f>
        <v>7</v>
      </c>
      <c r="G31">
        <f t="array" ref="G31">SUMPRODUCT(ISNUMBER(SEARCH(NeutralDict, D31))*1)</f>
        <v>12</v>
      </c>
      <c r="H31">
        <f t="shared" si="3"/>
        <v>0</v>
      </c>
      <c r="I31">
        <f t="shared" si="4"/>
        <v>140</v>
      </c>
      <c r="J31">
        <f>SUM( I31 / VLOOKUP(A31, BaseUP!A:H, 8, FALSE)*100)</f>
        <v>100</v>
      </c>
      <c r="K31">
        <f t="shared" si="5"/>
        <v>5</v>
      </c>
      <c r="L31" t="s">
        <v>679</v>
      </c>
      <c r="M31" t="str">
        <f t="shared" si="6"/>
        <v>Pass</v>
      </c>
    </row>
    <row r="32" spans="1:13" ht="324" x14ac:dyDescent="0.25">
      <c r="A32">
        <v>16</v>
      </c>
      <c r="B32" t="s">
        <v>10</v>
      </c>
      <c r="C32" t="s">
        <v>11</v>
      </c>
      <c r="D32" s="1" t="s">
        <v>1134</v>
      </c>
      <c r="E32">
        <f t="array" ref="E32">SUMPRODUCT(ISNUMBER(SEARCH(AgenticDict, D32))*1)</f>
        <v>10</v>
      </c>
      <c r="F32">
        <f t="array" ref="F32">SUMPRODUCT(ISNUMBER(SEARCH(CommunalDict, D32))*1)</f>
        <v>3</v>
      </c>
      <c r="G32">
        <f t="array" ref="G32">SUMPRODUCT(ISNUMBER(SEARCH(NeutralDict, D32))*1)</f>
        <v>14</v>
      </c>
      <c r="H32">
        <f t="shared" si="3"/>
        <v>0</v>
      </c>
      <c r="I32">
        <f t="shared" si="4"/>
        <v>142</v>
      </c>
      <c r="J32">
        <f>SUM( I32 / VLOOKUP(A32, BaseUP!A:H, 8, FALSE)*100)</f>
        <v>100.70921985815602</v>
      </c>
      <c r="K32">
        <f t="shared" si="5"/>
        <v>7.042253521126761</v>
      </c>
      <c r="L32" t="s">
        <v>679</v>
      </c>
      <c r="M32" t="str">
        <f t="shared" si="6"/>
        <v>Pass</v>
      </c>
    </row>
    <row r="33" spans="1:13" ht="342" x14ac:dyDescent="0.25">
      <c r="A33">
        <v>16</v>
      </c>
      <c r="B33" t="s">
        <v>10</v>
      </c>
      <c r="C33" t="s">
        <v>13</v>
      </c>
      <c r="D33" s="1" t="s">
        <v>1205</v>
      </c>
      <c r="E33">
        <f t="array" ref="E33">SUMPRODUCT(ISNUMBER(SEARCH(AgenticDict, D33))*1)</f>
        <v>2</v>
      </c>
      <c r="F33">
        <f t="array" ref="F33">SUMPRODUCT(ISNUMBER(SEARCH(CommunalDict, D33))*1)</f>
        <v>10</v>
      </c>
      <c r="G33">
        <f t="array" ref="G33">SUMPRODUCT(ISNUMBER(SEARCH(NeutralDict, D33))*1)</f>
        <v>13</v>
      </c>
      <c r="H33">
        <f t="shared" si="3"/>
        <v>0</v>
      </c>
      <c r="I33">
        <f t="shared" si="4"/>
        <v>146</v>
      </c>
      <c r="J33">
        <f>SUM( I33 / VLOOKUP(A33, BaseUP!A:H, 8, FALSE)*100)</f>
        <v>103.54609929078013</v>
      </c>
      <c r="K33">
        <f t="shared" si="5"/>
        <v>6.8493150684931505</v>
      </c>
      <c r="L33" t="s">
        <v>679</v>
      </c>
      <c r="M33" t="str">
        <f t="shared" si="6"/>
        <v>Pass</v>
      </c>
    </row>
    <row r="34" spans="1:13" ht="342" x14ac:dyDescent="0.25">
      <c r="A34">
        <v>17</v>
      </c>
      <c r="B34" t="s">
        <v>10</v>
      </c>
      <c r="C34" t="s">
        <v>11</v>
      </c>
      <c r="D34" s="1" t="s">
        <v>1135</v>
      </c>
      <c r="E34">
        <f t="array" ref="E34">SUMPRODUCT(ISNUMBER(SEARCH(AgenticDict, D34))*1)</f>
        <v>10</v>
      </c>
      <c r="F34">
        <f t="array" ref="F34">SUMPRODUCT(ISNUMBER(SEARCH(CommunalDict, D34))*1)</f>
        <v>3</v>
      </c>
      <c r="G34">
        <f t="array" ref="G34">SUMPRODUCT(ISNUMBER(SEARCH(NeutralDict, D34))*1)</f>
        <v>13</v>
      </c>
      <c r="H34">
        <f t="shared" si="3"/>
        <v>0</v>
      </c>
      <c r="I34">
        <f t="shared" si="4"/>
        <v>137</v>
      </c>
      <c r="J34">
        <f>SUM( I34 / VLOOKUP(A34, BaseUP!A:H, 8, FALSE)*100)</f>
        <v>100.73529411764706</v>
      </c>
      <c r="K34">
        <f t="shared" si="5"/>
        <v>7.2992700729926998</v>
      </c>
      <c r="L34" t="s">
        <v>679</v>
      </c>
      <c r="M34" t="str">
        <f t="shared" si="6"/>
        <v>Pass</v>
      </c>
    </row>
    <row r="35" spans="1:13" ht="360" x14ac:dyDescent="0.25">
      <c r="A35">
        <v>17</v>
      </c>
      <c r="B35" t="s">
        <v>10</v>
      </c>
      <c r="C35" t="s">
        <v>13</v>
      </c>
      <c r="D35" s="1" t="s">
        <v>1136</v>
      </c>
      <c r="E35">
        <f t="array" ref="E35">SUMPRODUCT(ISNUMBER(SEARCH(AgenticDict, D35))*1)</f>
        <v>2</v>
      </c>
      <c r="F35">
        <f t="array" ref="F35">SUMPRODUCT(ISNUMBER(SEARCH(CommunalDict, D35))*1)</f>
        <v>9</v>
      </c>
      <c r="G35">
        <f t="array" ref="G35">SUMPRODUCT(ISNUMBER(SEARCH(NeutralDict, D35))*1)</f>
        <v>13</v>
      </c>
      <c r="H35">
        <f t="shared" si="3"/>
        <v>0</v>
      </c>
      <c r="I35">
        <f t="shared" si="4"/>
        <v>138</v>
      </c>
      <c r="J35">
        <f>SUM( I35 / VLOOKUP(A35, BaseUP!A:H, 8, FALSE)*100)</f>
        <v>101.47058823529412</v>
      </c>
      <c r="K35">
        <f t="shared" si="5"/>
        <v>6.5217391304347823</v>
      </c>
      <c r="L35" t="s">
        <v>679</v>
      </c>
      <c r="M35" t="str">
        <f t="shared" si="6"/>
        <v>Pass</v>
      </c>
    </row>
    <row r="36" spans="1:13" ht="360" x14ac:dyDescent="0.25">
      <c r="A36">
        <v>18</v>
      </c>
      <c r="B36" t="s">
        <v>10</v>
      </c>
      <c r="C36" t="s">
        <v>11</v>
      </c>
      <c r="D36" s="1" t="s">
        <v>493</v>
      </c>
      <c r="E36">
        <f t="array" ref="E36">SUMPRODUCT(ISNUMBER(SEARCH(AgenticDict, D36))*1)</f>
        <v>10</v>
      </c>
      <c r="F36">
        <f t="array" ref="F36">SUMPRODUCT(ISNUMBER(SEARCH(CommunalDict, D36))*1)</f>
        <v>3</v>
      </c>
      <c r="G36">
        <f t="array" ref="G36">SUMPRODUCT(ISNUMBER(SEARCH(NeutralDict, D36))*1)</f>
        <v>18</v>
      </c>
      <c r="H36">
        <f t="shared" si="3"/>
        <v>0</v>
      </c>
      <c r="I36">
        <f t="shared" si="4"/>
        <v>152</v>
      </c>
      <c r="J36">
        <f>SUM( I36 / VLOOKUP(A36, BaseUP!A:H, 8, FALSE)*100)</f>
        <v>98.701298701298697</v>
      </c>
      <c r="K36">
        <f t="shared" si="5"/>
        <v>6.5789473684210522</v>
      </c>
      <c r="L36" t="s">
        <v>679</v>
      </c>
      <c r="M36" t="str">
        <f t="shared" si="6"/>
        <v>Pass</v>
      </c>
    </row>
    <row r="37" spans="1:13" ht="360" x14ac:dyDescent="0.25">
      <c r="A37">
        <v>18</v>
      </c>
      <c r="B37" t="s">
        <v>10</v>
      </c>
      <c r="C37" t="s">
        <v>13</v>
      </c>
      <c r="D37" s="1" t="s">
        <v>494</v>
      </c>
      <c r="E37">
        <f t="array" ref="E37">SUMPRODUCT(ISNUMBER(SEARCH(AgenticDict, D37))*1)</f>
        <v>1</v>
      </c>
      <c r="F37">
        <f t="array" ref="F37">SUMPRODUCT(ISNUMBER(SEARCH(CommunalDict, D37))*1)</f>
        <v>13</v>
      </c>
      <c r="G37">
        <f t="array" ref="G37">SUMPRODUCT(ISNUMBER(SEARCH(NeutralDict, D37))*1)</f>
        <v>18</v>
      </c>
      <c r="H37">
        <f t="shared" si="3"/>
        <v>0</v>
      </c>
      <c r="I37">
        <f t="shared" si="4"/>
        <v>158</v>
      </c>
      <c r="J37">
        <f>SUM( I37 / VLOOKUP(A37, BaseUP!A:H, 8, FALSE)*100)</f>
        <v>102.59740259740259</v>
      </c>
      <c r="K37">
        <f t="shared" si="5"/>
        <v>8.2278481012658222</v>
      </c>
      <c r="L37" t="s">
        <v>679</v>
      </c>
      <c r="M37" t="str">
        <f t="shared" si="6"/>
        <v>Pass</v>
      </c>
    </row>
    <row r="38" spans="1:13" ht="324" x14ac:dyDescent="0.25">
      <c r="A38">
        <v>19</v>
      </c>
      <c r="B38" t="s">
        <v>10</v>
      </c>
      <c r="C38" t="s">
        <v>11</v>
      </c>
      <c r="D38" s="1" t="s">
        <v>1137</v>
      </c>
      <c r="E38">
        <f t="array" ref="E38">SUMPRODUCT(ISNUMBER(SEARCH(AgenticDict, D38))*1)</f>
        <v>13</v>
      </c>
      <c r="F38">
        <f t="array" ref="F38">SUMPRODUCT(ISNUMBER(SEARCH(CommunalDict, D38))*1)</f>
        <v>2</v>
      </c>
      <c r="G38">
        <f t="array" ref="G38">SUMPRODUCT(ISNUMBER(SEARCH(NeutralDict, D38))*1)</f>
        <v>9</v>
      </c>
      <c r="H38">
        <f t="shared" si="3"/>
        <v>0</v>
      </c>
      <c r="I38">
        <f t="shared" si="4"/>
        <v>147</v>
      </c>
      <c r="J38">
        <f>SUM( I38 / VLOOKUP(A38, BaseUP!A:H, 8, FALSE)*100)</f>
        <v>99.324324324324323</v>
      </c>
      <c r="K38">
        <f t="shared" si="5"/>
        <v>8.8435374149659864</v>
      </c>
      <c r="L38" t="s">
        <v>679</v>
      </c>
      <c r="M38" t="str">
        <f t="shared" si="6"/>
        <v>Pass</v>
      </c>
    </row>
    <row r="39" spans="1:13" ht="324" x14ac:dyDescent="0.25">
      <c r="A39">
        <v>19</v>
      </c>
      <c r="B39" t="s">
        <v>10</v>
      </c>
      <c r="C39" t="s">
        <v>13</v>
      </c>
      <c r="D39" s="1" t="s">
        <v>1138</v>
      </c>
      <c r="E39">
        <f t="array" ref="E39">SUMPRODUCT(ISNUMBER(SEARCH(AgenticDict, D39))*1)</f>
        <v>2</v>
      </c>
      <c r="F39">
        <f t="array" ref="F39">SUMPRODUCT(ISNUMBER(SEARCH(CommunalDict, D39))*1)</f>
        <v>8</v>
      </c>
      <c r="G39">
        <f t="array" ref="G39">SUMPRODUCT(ISNUMBER(SEARCH(NeutralDict, D39))*1)</f>
        <v>10</v>
      </c>
      <c r="H39">
        <f t="shared" si="3"/>
        <v>0</v>
      </c>
      <c r="I39">
        <f t="shared" si="4"/>
        <v>150</v>
      </c>
      <c r="J39">
        <f>SUM( I39 / VLOOKUP(A39, BaseUP!A:H, 8, FALSE)*100)</f>
        <v>101.35135135135135</v>
      </c>
      <c r="K39">
        <f t="shared" si="5"/>
        <v>5.3333333333333339</v>
      </c>
      <c r="L39" t="s">
        <v>679</v>
      </c>
      <c r="M39" t="str">
        <f t="shared" si="6"/>
        <v>Pass</v>
      </c>
    </row>
    <row r="40" spans="1:13" ht="324" x14ac:dyDescent="0.25">
      <c r="A40">
        <v>20</v>
      </c>
      <c r="B40" t="s">
        <v>10</v>
      </c>
      <c r="C40" t="s">
        <v>11</v>
      </c>
      <c r="D40" s="1" t="s">
        <v>1139</v>
      </c>
      <c r="E40">
        <f t="array" ref="E40">SUMPRODUCT(ISNUMBER(SEARCH(AgenticDict, D40))*1)</f>
        <v>10</v>
      </c>
      <c r="F40">
        <f t="array" ref="F40">SUMPRODUCT(ISNUMBER(SEARCH(CommunalDict, D40))*1)</f>
        <v>2</v>
      </c>
      <c r="G40">
        <f t="array" ref="G40">SUMPRODUCT(ISNUMBER(SEARCH(NeutralDict, D40))*1)</f>
        <v>15</v>
      </c>
      <c r="H40">
        <f t="shared" si="3"/>
        <v>0</v>
      </c>
      <c r="I40">
        <f t="shared" si="4"/>
        <v>136</v>
      </c>
      <c r="J40">
        <f>SUM( I40 / VLOOKUP(A40, BaseUP!A:H, 8, FALSE)*100)</f>
        <v>100</v>
      </c>
      <c r="K40">
        <f t="shared" si="5"/>
        <v>7.3529411764705888</v>
      </c>
      <c r="L40" t="s">
        <v>679</v>
      </c>
      <c r="M40" t="str">
        <f t="shared" si="6"/>
        <v>Pass</v>
      </c>
    </row>
    <row r="41" spans="1:13" ht="324" x14ac:dyDescent="0.25">
      <c r="A41">
        <v>20</v>
      </c>
      <c r="B41" t="s">
        <v>10</v>
      </c>
      <c r="C41" t="s">
        <v>13</v>
      </c>
      <c r="D41" s="1" t="s">
        <v>1140</v>
      </c>
      <c r="E41">
        <f t="array" ref="E41">SUMPRODUCT(ISNUMBER(SEARCH(AgenticDict, D41))*1)</f>
        <v>1</v>
      </c>
      <c r="F41">
        <f t="array" ref="F41">SUMPRODUCT(ISNUMBER(SEARCH(CommunalDict, D41))*1)</f>
        <v>9</v>
      </c>
      <c r="G41">
        <f t="array" ref="G41">SUMPRODUCT(ISNUMBER(SEARCH(NeutralDict, D41))*1)</f>
        <v>16</v>
      </c>
      <c r="H41">
        <f t="shared" si="3"/>
        <v>0</v>
      </c>
      <c r="I41">
        <f t="shared" si="4"/>
        <v>138</v>
      </c>
      <c r="J41">
        <f>SUM( I41 / VLOOKUP(A41, BaseUP!A:H, 8, FALSE)*100)</f>
        <v>101.47058823529412</v>
      </c>
      <c r="K41">
        <f t="shared" si="5"/>
        <v>6.5217391304347823</v>
      </c>
      <c r="L41" t="s">
        <v>679</v>
      </c>
      <c r="M41" t="str">
        <f t="shared" si="6"/>
        <v>Pass</v>
      </c>
    </row>
    <row r="42" spans="1:13" ht="342" x14ac:dyDescent="0.25">
      <c r="A42">
        <v>21</v>
      </c>
      <c r="B42" t="s">
        <v>10</v>
      </c>
      <c r="C42" t="s">
        <v>11</v>
      </c>
      <c r="D42" s="1" t="s">
        <v>1141</v>
      </c>
      <c r="E42">
        <f t="array" ref="E42">SUMPRODUCT(ISNUMBER(SEARCH(AgenticDict, D42))*1)</f>
        <v>10</v>
      </c>
      <c r="F42">
        <f t="array" ref="F42">SUMPRODUCT(ISNUMBER(SEARCH(CommunalDict, D42))*1)</f>
        <v>2</v>
      </c>
      <c r="G42">
        <f t="array" ref="G42">SUMPRODUCT(ISNUMBER(SEARCH(NeutralDict, D42))*1)</f>
        <v>18</v>
      </c>
      <c r="H42">
        <f t="shared" si="3"/>
        <v>0</v>
      </c>
      <c r="I42">
        <f t="shared" si="4"/>
        <v>145</v>
      </c>
      <c r="J42">
        <f>SUM( I42 / VLOOKUP(A42, BaseUP!A:H, 8, FALSE)*100)</f>
        <v>102.11267605633803</v>
      </c>
      <c r="K42">
        <f t="shared" si="5"/>
        <v>6.8965517241379306</v>
      </c>
      <c r="L42" t="s">
        <v>679</v>
      </c>
      <c r="M42" t="str">
        <f t="shared" si="6"/>
        <v>Pass</v>
      </c>
    </row>
    <row r="43" spans="1:13" ht="360" x14ac:dyDescent="0.25">
      <c r="A43">
        <v>21</v>
      </c>
      <c r="B43" t="s">
        <v>10</v>
      </c>
      <c r="C43" t="s">
        <v>13</v>
      </c>
      <c r="D43" s="1" t="s">
        <v>1142</v>
      </c>
      <c r="E43">
        <f t="array" ref="E43">SUMPRODUCT(ISNUMBER(SEARCH(AgenticDict, D43))*1)</f>
        <v>1</v>
      </c>
      <c r="F43">
        <f t="array" ref="F43">SUMPRODUCT(ISNUMBER(SEARCH(CommunalDict, D43))*1)</f>
        <v>9</v>
      </c>
      <c r="G43">
        <f t="array" ref="G43">SUMPRODUCT(ISNUMBER(SEARCH(NeutralDict, D43))*1)</f>
        <v>18</v>
      </c>
      <c r="H43">
        <f t="shared" si="3"/>
        <v>0</v>
      </c>
      <c r="I43">
        <f t="shared" si="4"/>
        <v>148</v>
      </c>
      <c r="J43">
        <f>SUM( I43 / VLOOKUP(A43, BaseUP!A:H, 8, FALSE)*100)</f>
        <v>104.22535211267605</v>
      </c>
      <c r="K43">
        <f t="shared" si="5"/>
        <v>6.0810810810810816</v>
      </c>
      <c r="L43" t="s">
        <v>679</v>
      </c>
      <c r="M43" t="str">
        <f t="shared" si="6"/>
        <v>Pass</v>
      </c>
    </row>
    <row r="44" spans="1:13" ht="378" x14ac:dyDescent="0.25">
      <c r="A44">
        <v>22</v>
      </c>
      <c r="B44" t="s">
        <v>10</v>
      </c>
      <c r="C44" t="s">
        <v>11</v>
      </c>
      <c r="D44" s="1" t="s">
        <v>733</v>
      </c>
      <c r="E44">
        <f t="array" ref="E44">SUMPRODUCT(ISNUMBER(SEARCH(AgenticDict, D44))*1)</f>
        <v>9</v>
      </c>
      <c r="F44">
        <f t="array" ref="F44">SUMPRODUCT(ISNUMBER(SEARCH(CommunalDict, D44))*1)</f>
        <v>3</v>
      </c>
      <c r="G44">
        <f t="array" ref="G44">SUMPRODUCT(ISNUMBER(SEARCH(NeutralDict, D44))*1)</f>
        <v>14</v>
      </c>
      <c r="H44">
        <f t="shared" si="3"/>
        <v>0</v>
      </c>
      <c r="I44">
        <f t="shared" si="4"/>
        <v>172</v>
      </c>
      <c r="J44">
        <f>SUM( I44 / VLOOKUP(A44, BaseUP!A:H, 8, FALSE)*100)</f>
        <v>100.58479532163742</v>
      </c>
      <c r="K44">
        <f t="shared" si="5"/>
        <v>5.2325581395348841</v>
      </c>
      <c r="L44" t="s">
        <v>679</v>
      </c>
      <c r="M44" t="str">
        <f t="shared" si="6"/>
        <v>Pass</v>
      </c>
    </row>
    <row r="45" spans="1:13" ht="378" x14ac:dyDescent="0.25">
      <c r="A45">
        <v>22</v>
      </c>
      <c r="B45" t="s">
        <v>10</v>
      </c>
      <c r="C45" t="s">
        <v>13</v>
      </c>
      <c r="D45" s="1" t="s">
        <v>711</v>
      </c>
      <c r="E45">
        <f t="array" ref="E45">SUMPRODUCT(ISNUMBER(SEARCH(AgenticDict, D45))*1)</f>
        <v>4</v>
      </c>
      <c r="F45">
        <f t="array" ref="F45">SUMPRODUCT(ISNUMBER(SEARCH(CommunalDict, D45))*1)</f>
        <v>17</v>
      </c>
      <c r="G45">
        <f t="array" ref="G45">SUMPRODUCT(ISNUMBER(SEARCH(NeutralDict, D45))*1)</f>
        <v>13</v>
      </c>
      <c r="H45">
        <f t="shared" si="3"/>
        <v>0</v>
      </c>
      <c r="I45">
        <f t="shared" si="4"/>
        <v>174</v>
      </c>
      <c r="J45">
        <f>SUM( I45 / VLOOKUP(A45, BaseUP!A:H, 8, FALSE)*100)</f>
        <v>101.75438596491229</v>
      </c>
      <c r="K45">
        <f t="shared" si="5"/>
        <v>9.7701149425287355</v>
      </c>
      <c r="L45" t="s">
        <v>679</v>
      </c>
      <c r="M45" t="str">
        <f t="shared" si="6"/>
        <v>Pass</v>
      </c>
    </row>
    <row r="46" spans="1:13" ht="324" x14ac:dyDescent="0.25">
      <c r="A46">
        <v>23</v>
      </c>
      <c r="B46" t="s">
        <v>10</v>
      </c>
      <c r="C46" t="s">
        <v>11</v>
      </c>
      <c r="D46" s="1" t="s">
        <v>1143</v>
      </c>
      <c r="E46">
        <f t="array" ref="E46">SUMPRODUCT(ISNUMBER(SEARCH(AgenticDict, D46))*1)</f>
        <v>9</v>
      </c>
      <c r="F46">
        <f t="array" ref="F46">SUMPRODUCT(ISNUMBER(SEARCH(CommunalDict, D46))*1)</f>
        <v>1</v>
      </c>
      <c r="G46">
        <f t="array" ref="G46">SUMPRODUCT(ISNUMBER(SEARCH(NeutralDict, D46))*1)</f>
        <v>13</v>
      </c>
      <c r="H46">
        <f t="shared" si="3"/>
        <v>0</v>
      </c>
      <c r="I46">
        <f t="shared" si="4"/>
        <v>123</v>
      </c>
      <c r="J46">
        <f>SUM( I46 / VLOOKUP(A46, BaseUP!A:H, 8, FALSE)*100)</f>
        <v>100.81967213114753</v>
      </c>
      <c r="K46">
        <f t="shared" si="5"/>
        <v>7.3170731707317067</v>
      </c>
      <c r="L46" t="s">
        <v>679</v>
      </c>
      <c r="M46" t="str">
        <f t="shared" si="6"/>
        <v>Pass</v>
      </c>
    </row>
    <row r="47" spans="1:13" ht="324" x14ac:dyDescent="0.25">
      <c r="A47">
        <v>23</v>
      </c>
      <c r="B47" t="s">
        <v>10</v>
      </c>
      <c r="C47" t="s">
        <v>13</v>
      </c>
      <c r="D47" s="1" t="s">
        <v>1144</v>
      </c>
      <c r="E47">
        <f t="array" ref="E47">SUMPRODUCT(ISNUMBER(SEARCH(AgenticDict, D47))*1)</f>
        <v>0</v>
      </c>
      <c r="F47">
        <f t="array" ref="F47">SUMPRODUCT(ISNUMBER(SEARCH(CommunalDict, D47))*1)</f>
        <v>8</v>
      </c>
      <c r="G47">
        <f t="array" ref="G47">SUMPRODUCT(ISNUMBER(SEARCH(NeutralDict, D47))*1)</f>
        <v>14</v>
      </c>
      <c r="H47">
        <f t="shared" si="3"/>
        <v>0</v>
      </c>
      <c r="I47">
        <f t="shared" si="4"/>
        <v>124</v>
      </c>
      <c r="J47">
        <f>SUM( I47 / VLOOKUP(A47, BaseUP!A:H, 8, FALSE)*100)</f>
        <v>101.63934426229508</v>
      </c>
      <c r="K47">
        <f t="shared" si="5"/>
        <v>6.4516129032258061</v>
      </c>
      <c r="L47" t="s">
        <v>679</v>
      </c>
      <c r="M47" t="str">
        <f t="shared" si="6"/>
        <v>Pass</v>
      </c>
    </row>
    <row r="48" spans="1:13" ht="342" x14ac:dyDescent="0.25">
      <c r="A48">
        <v>24</v>
      </c>
      <c r="B48" t="s">
        <v>10</v>
      </c>
      <c r="C48" t="s">
        <v>11</v>
      </c>
      <c r="D48" s="1" t="s">
        <v>1145</v>
      </c>
      <c r="E48">
        <f t="array" ref="E48">SUMPRODUCT(ISNUMBER(SEARCH(AgenticDict, D48))*1)</f>
        <v>12</v>
      </c>
      <c r="F48">
        <f t="array" ref="F48">SUMPRODUCT(ISNUMBER(SEARCH(CommunalDict, D48))*1)</f>
        <v>3</v>
      </c>
      <c r="G48">
        <f t="array" ref="G48">SUMPRODUCT(ISNUMBER(SEARCH(NeutralDict, D48))*1)</f>
        <v>15</v>
      </c>
      <c r="H48">
        <f t="shared" si="3"/>
        <v>0</v>
      </c>
      <c r="I48">
        <f t="shared" si="4"/>
        <v>139</v>
      </c>
      <c r="J48">
        <f>SUM( I48 / VLOOKUP(A48, BaseUP!A:H, 8, FALSE)*100)</f>
        <v>102.96296296296296</v>
      </c>
      <c r="K48">
        <f t="shared" si="5"/>
        <v>8.6330935251798557</v>
      </c>
      <c r="L48" t="s">
        <v>679</v>
      </c>
      <c r="M48" t="str">
        <f t="shared" si="6"/>
        <v>Pass</v>
      </c>
    </row>
    <row r="49" spans="1:13" ht="324" x14ac:dyDescent="0.25">
      <c r="A49">
        <v>24</v>
      </c>
      <c r="B49" t="s">
        <v>10</v>
      </c>
      <c r="C49" t="s">
        <v>13</v>
      </c>
      <c r="D49" s="1" t="s">
        <v>1146</v>
      </c>
      <c r="E49">
        <f t="array" ref="E49">SUMPRODUCT(ISNUMBER(SEARCH(AgenticDict, D49))*1)</f>
        <v>1</v>
      </c>
      <c r="F49">
        <f t="array" ref="F49">SUMPRODUCT(ISNUMBER(SEARCH(CommunalDict, D49))*1)</f>
        <v>9</v>
      </c>
      <c r="G49">
        <f t="array" ref="G49">SUMPRODUCT(ISNUMBER(SEARCH(NeutralDict, D49))*1)</f>
        <v>15</v>
      </c>
      <c r="H49">
        <f t="shared" si="3"/>
        <v>0</v>
      </c>
      <c r="I49">
        <f t="shared" si="4"/>
        <v>136</v>
      </c>
      <c r="J49">
        <f>SUM( I49 / VLOOKUP(A49, BaseUP!A:H, 8, FALSE)*100)</f>
        <v>100.74074074074073</v>
      </c>
      <c r="K49">
        <f t="shared" si="5"/>
        <v>6.6176470588235299</v>
      </c>
      <c r="L49" t="s">
        <v>679</v>
      </c>
      <c r="M49" t="str">
        <f t="shared" si="6"/>
        <v>Pass</v>
      </c>
    </row>
    <row r="50" spans="1:13" ht="342" x14ac:dyDescent="0.25">
      <c r="A50">
        <v>25</v>
      </c>
      <c r="B50" t="s">
        <v>10</v>
      </c>
      <c r="C50" t="s">
        <v>11</v>
      </c>
      <c r="D50" s="1" t="s">
        <v>1147</v>
      </c>
      <c r="E50">
        <f t="array" ref="E50">SUMPRODUCT(ISNUMBER(SEARCH(AgenticDict, D50))*1)</f>
        <v>10</v>
      </c>
      <c r="F50">
        <f t="array" ref="F50">SUMPRODUCT(ISNUMBER(SEARCH(CommunalDict, D50))*1)</f>
        <v>3</v>
      </c>
      <c r="G50">
        <f t="array" ref="G50">SUMPRODUCT(ISNUMBER(SEARCH(NeutralDict, D50))*1)</f>
        <v>13</v>
      </c>
      <c r="H50">
        <f t="shared" si="3"/>
        <v>0</v>
      </c>
      <c r="I50">
        <f t="shared" si="4"/>
        <v>140</v>
      </c>
      <c r="J50">
        <f>SUM( I50 / VLOOKUP(A50, BaseUP!A:H, 8, FALSE)*100)</f>
        <v>102.18978102189782</v>
      </c>
      <c r="K50">
        <f t="shared" si="5"/>
        <v>7.1428571428571423</v>
      </c>
      <c r="L50" t="s">
        <v>679</v>
      </c>
      <c r="M50" t="str">
        <f t="shared" si="6"/>
        <v>Pass</v>
      </c>
    </row>
    <row r="51" spans="1:13" ht="342" x14ac:dyDescent="0.25">
      <c r="A51">
        <v>25</v>
      </c>
      <c r="B51" t="s">
        <v>10</v>
      </c>
      <c r="C51" t="s">
        <v>13</v>
      </c>
      <c r="D51" s="1" t="s">
        <v>1148</v>
      </c>
      <c r="E51">
        <f t="array" ref="E51">SUMPRODUCT(ISNUMBER(SEARCH(AgenticDict, D51))*1)</f>
        <v>0</v>
      </c>
      <c r="F51">
        <f t="array" ref="F51">SUMPRODUCT(ISNUMBER(SEARCH(CommunalDict, D51))*1)</f>
        <v>9</v>
      </c>
      <c r="G51">
        <f t="array" ref="G51">SUMPRODUCT(ISNUMBER(SEARCH(NeutralDict, D51))*1)</f>
        <v>14</v>
      </c>
      <c r="H51">
        <f t="shared" si="3"/>
        <v>0</v>
      </c>
      <c r="I51">
        <f t="shared" si="4"/>
        <v>138</v>
      </c>
      <c r="J51">
        <f>SUM( I51 / VLOOKUP(A51, BaseUP!A:H, 8, FALSE)*100)</f>
        <v>100.72992700729928</v>
      </c>
      <c r="K51">
        <f t="shared" si="5"/>
        <v>6.5217391304347823</v>
      </c>
      <c r="L51" t="s">
        <v>679</v>
      </c>
      <c r="M51" t="str">
        <f t="shared" si="6"/>
        <v>Pass</v>
      </c>
    </row>
    <row r="52" spans="1:13" ht="342" x14ac:dyDescent="0.25">
      <c r="A52">
        <v>26</v>
      </c>
      <c r="B52" t="s">
        <v>10</v>
      </c>
      <c r="C52" t="s">
        <v>11</v>
      </c>
      <c r="D52" s="1" t="s">
        <v>1149</v>
      </c>
      <c r="E52">
        <f t="array" ref="E52">SUMPRODUCT(ISNUMBER(SEARCH(AgenticDict, D52))*1)</f>
        <v>13</v>
      </c>
      <c r="F52">
        <f t="array" ref="F52">SUMPRODUCT(ISNUMBER(SEARCH(CommunalDict, D52))*1)</f>
        <v>3</v>
      </c>
      <c r="G52">
        <f t="array" ref="G52">SUMPRODUCT(ISNUMBER(SEARCH(NeutralDict, D52))*1)</f>
        <v>13</v>
      </c>
      <c r="H52">
        <f t="shared" si="3"/>
        <v>0</v>
      </c>
      <c r="I52">
        <f t="shared" si="4"/>
        <v>153</v>
      </c>
      <c r="J52">
        <f>SUM( I52 / VLOOKUP(A52, BaseUP!A:H, 8, FALSE)*100)</f>
        <v>107.74647887323943</v>
      </c>
      <c r="K52">
        <f t="shared" si="5"/>
        <v>8.4967320261437909</v>
      </c>
      <c r="L52" t="s">
        <v>679</v>
      </c>
      <c r="M52" t="str">
        <f t="shared" si="6"/>
        <v>Pass</v>
      </c>
    </row>
    <row r="53" spans="1:13" ht="342" x14ac:dyDescent="0.25">
      <c r="A53">
        <v>26</v>
      </c>
      <c r="B53" t="s">
        <v>10</v>
      </c>
      <c r="C53" t="s">
        <v>13</v>
      </c>
      <c r="D53" s="1" t="s">
        <v>1150</v>
      </c>
      <c r="E53">
        <f t="array" ref="E53">SUMPRODUCT(ISNUMBER(SEARCH(AgenticDict, D53))*1)</f>
        <v>0</v>
      </c>
      <c r="F53">
        <f t="array" ref="F53">SUMPRODUCT(ISNUMBER(SEARCH(CommunalDict, D53))*1)</f>
        <v>10</v>
      </c>
      <c r="G53">
        <f t="array" ref="G53">SUMPRODUCT(ISNUMBER(SEARCH(NeutralDict, D53))*1)</f>
        <v>12</v>
      </c>
      <c r="H53">
        <f t="shared" si="3"/>
        <v>0</v>
      </c>
      <c r="I53">
        <f t="shared" si="4"/>
        <v>145</v>
      </c>
      <c r="J53">
        <f>SUM( I53 / VLOOKUP(A53, BaseUP!A:H, 8, FALSE)*100)</f>
        <v>102.11267605633803</v>
      </c>
      <c r="K53">
        <f t="shared" si="5"/>
        <v>6.8965517241379306</v>
      </c>
      <c r="L53" t="s">
        <v>679</v>
      </c>
      <c r="M53" t="str">
        <f t="shared" si="6"/>
        <v>Pass</v>
      </c>
    </row>
    <row r="54" spans="1:13" ht="324" x14ac:dyDescent="0.25">
      <c r="A54">
        <v>27</v>
      </c>
      <c r="B54" t="s">
        <v>10</v>
      </c>
      <c r="C54" t="s">
        <v>11</v>
      </c>
      <c r="D54" s="1" t="s">
        <v>503</v>
      </c>
      <c r="E54">
        <f t="array" ref="E54">SUMPRODUCT(ISNUMBER(SEARCH(AgenticDict, D54))*1)</f>
        <v>10</v>
      </c>
      <c r="F54">
        <f t="array" ref="F54">SUMPRODUCT(ISNUMBER(SEARCH(CommunalDict, D54))*1)</f>
        <v>3</v>
      </c>
      <c r="G54">
        <f t="array" ref="G54">SUMPRODUCT(ISNUMBER(SEARCH(NeutralDict, D54))*1)</f>
        <v>14</v>
      </c>
      <c r="H54">
        <f t="shared" si="3"/>
        <v>0</v>
      </c>
      <c r="I54">
        <f t="shared" si="4"/>
        <v>138</v>
      </c>
      <c r="J54">
        <f>SUM( I54 / VLOOKUP(A54, BaseUP!A:H, 8, FALSE)*100)</f>
        <v>99.280575539568346</v>
      </c>
      <c r="K54">
        <f t="shared" si="5"/>
        <v>7.2463768115942031</v>
      </c>
      <c r="L54" t="s">
        <v>679</v>
      </c>
      <c r="M54" t="str">
        <f t="shared" si="6"/>
        <v>Pass</v>
      </c>
    </row>
    <row r="55" spans="1:13" ht="342" x14ac:dyDescent="0.25">
      <c r="A55">
        <v>27</v>
      </c>
      <c r="B55" t="s">
        <v>10</v>
      </c>
      <c r="C55" t="s">
        <v>13</v>
      </c>
      <c r="D55" s="1" t="s">
        <v>719</v>
      </c>
      <c r="E55">
        <f t="array" ref="E55">SUMPRODUCT(ISNUMBER(SEARCH(AgenticDict, D55))*1)</f>
        <v>0</v>
      </c>
      <c r="F55">
        <f t="array" ref="F55">SUMPRODUCT(ISNUMBER(SEARCH(CommunalDict, D55))*1)</f>
        <v>11</v>
      </c>
      <c r="G55">
        <f t="array" ref="G55">SUMPRODUCT(ISNUMBER(SEARCH(NeutralDict, D55))*1)</f>
        <v>15</v>
      </c>
      <c r="H55">
        <f t="shared" si="3"/>
        <v>0</v>
      </c>
      <c r="I55">
        <f t="shared" si="4"/>
        <v>145</v>
      </c>
      <c r="J55">
        <f>SUM( I55 / VLOOKUP(A55, BaseUP!A:H, 8, FALSE)*100)</f>
        <v>104.31654676258992</v>
      </c>
      <c r="K55">
        <f t="shared" si="5"/>
        <v>7.5862068965517242</v>
      </c>
      <c r="L55" t="s">
        <v>679</v>
      </c>
      <c r="M55" t="str">
        <f t="shared" si="6"/>
        <v>Pass</v>
      </c>
    </row>
    <row r="56" spans="1:13" ht="324" x14ac:dyDescent="0.25">
      <c r="A56">
        <v>28</v>
      </c>
      <c r="B56" t="s">
        <v>10</v>
      </c>
      <c r="C56" t="s">
        <v>11</v>
      </c>
      <c r="D56" s="1" t="s">
        <v>709</v>
      </c>
      <c r="E56">
        <f t="array" ref="E56">SUMPRODUCT(ISNUMBER(SEARCH(AgenticDict, D56))*1)</f>
        <v>12</v>
      </c>
      <c r="F56">
        <f t="array" ref="F56">SUMPRODUCT(ISNUMBER(SEARCH(CommunalDict, D56))*1)</f>
        <v>2</v>
      </c>
      <c r="G56">
        <f t="array" ref="G56">SUMPRODUCT(ISNUMBER(SEARCH(NeutralDict, D56))*1)</f>
        <v>12</v>
      </c>
      <c r="H56">
        <f t="shared" si="3"/>
        <v>0</v>
      </c>
      <c r="I56">
        <f t="shared" si="4"/>
        <v>143</v>
      </c>
      <c r="J56">
        <f>SUM( I56 / VLOOKUP(A56, BaseUP!A:H, 8, FALSE)*100)</f>
        <v>103.62318840579709</v>
      </c>
      <c r="K56">
        <f t="shared" si="5"/>
        <v>8.3916083916083917</v>
      </c>
      <c r="L56" t="s">
        <v>679</v>
      </c>
      <c r="M56" t="str">
        <f t="shared" si="6"/>
        <v>Pass</v>
      </c>
    </row>
    <row r="57" spans="1:13" ht="324" x14ac:dyDescent="0.25">
      <c r="A57">
        <v>28</v>
      </c>
      <c r="B57" t="s">
        <v>10</v>
      </c>
      <c r="C57" t="s">
        <v>13</v>
      </c>
      <c r="D57" s="1" t="s">
        <v>504</v>
      </c>
      <c r="E57">
        <f t="array" ref="E57">SUMPRODUCT(ISNUMBER(SEARCH(AgenticDict, D57))*1)</f>
        <v>2</v>
      </c>
      <c r="F57">
        <f t="array" ref="F57">SUMPRODUCT(ISNUMBER(SEARCH(CommunalDict, D57))*1)</f>
        <v>11</v>
      </c>
      <c r="G57">
        <f t="array" ref="G57">SUMPRODUCT(ISNUMBER(SEARCH(NeutralDict, D57))*1)</f>
        <v>13</v>
      </c>
      <c r="H57">
        <f t="shared" si="3"/>
        <v>0</v>
      </c>
      <c r="I57">
        <f t="shared" si="4"/>
        <v>138</v>
      </c>
      <c r="J57">
        <f>SUM( I57 / VLOOKUP(A57, BaseUP!A:H, 8, FALSE)*100)</f>
        <v>100</v>
      </c>
      <c r="K57">
        <f t="shared" si="5"/>
        <v>7.9710144927536222</v>
      </c>
      <c r="L57" t="s">
        <v>679</v>
      </c>
      <c r="M57" t="str">
        <f t="shared" si="6"/>
        <v>Pass</v>
      </c>
    </row>
    <row r="58" spans="1:13" ht="324" x14ac:dyDescent="0.25">
      <c r="A58">
        <v>29</v>
      </c>
      <c r="B58" t="s">
        <v>10</v>
      </c>
      <c r="C58" t="s">
        <v>11</v>
      </c>
      <c r="D58" s="1" t="s">
        <v>1151</v>
      </c>
      <c r="E58">
        <f t="array" ref="E58">SUMPRODUCT(ISNUMBER(SEARCH(AgenticDict, D58))*1)</f>
        <v>9</v>
      </c>
      <c r="F58">
        <f t="array" ref="F58">SUMPRODUCT(ISNUMBER(SEARCH(CommunalDict, D58))*1)</f>
        <v>2</v>
      </c>
      <c r="G58">
        <f t="array" ref="G58">SUMPRODUCT(ISNUMBER(SEARCH(NeutralDict, D58))*1)</f>
        <v>15</v>
      </c>
      <c r="H58">
        <f t="shared" si="3"/>
        <v>0</v>
      </c>
      <c r="I58">
        <f t="shared" si="4"/>
        <v>127</v>
      </c>
      <c r="J58">
        <f>SUM( I58 / VLOOKUP(A58, BaseUP!A:H, 8, FALSE)*100)</f>
        <v>96.212121212121218</v>
      </c>
      <c r="K58">
        <f t="shared" si="5"/>
        <v>7.0866141732283463</v>
      </c>
      <c r="L58" t="s">
        <v>679</v>
      </c>
      <c r="M58" t="str">
        <f t="shared" si="6"/>
        <v>Pass</v>
      </c>
    </row>
    <row r="59" spans="1:13" ht="324" x14ac:dyDescent="0.25">
      <c r="A59">
        <v>29</v>
      </c>
      <c r="B59" t="s">
        <v>10</v>
      </c>
      <c r="C59" t="s">
        <v>13</v>
      </c>
      <c r="D59" s="1" t="s">
        <v>1152</v>
      </c>
      <c r="E59">
        <f t="array" ref="E59">SUMPRODUCT(ISNUMBER(SEARCH(AgenticDict, D59))*1)</f>
        <v>0</v>
      </c>
      <c r="F59">
        <f t="array" ref="F59">SUMPRODUCT(ISNUMBER(SEARCH(CommunalDict, D59))*1)</f>
        <v>11</v>
      </c>
      <c r="G59">
        <f t="array" ref="G59">SUMPRODUCT(ISNUMBER(SEARCH(NeutralDict, D59))*1)</f>
        <v>15</v>
      </c>
      <c r="H59">
        <f t="shared" si="3"/>
        <v>0</v>
      </c>
      <c r="I59">
        <f t="shared" si="4"/>
        <v>134</v>
      </c>
      <c r="J59">
        <f>SUM( I59 / VLOOKUP(A59, BaseUP!A:H, 8, FALSE)*100)</f>
        <v>101.51515151515152</v>
      </c>
      <c r="K59">
        <f t="shared" si="5"/>
        <v>8.2089552238805972</v>
      </c>
      <c r="L59" t="s">
        <v>679</v>
      </c>
      <c r="M59" t="str">
        <f t="shared" si="6"/>
        <v>Pass</v>
      </c>
    </row>
    <row r="60" spans="1:13" ht="342" x14ac:dyDescent="0.25">
      <c r="A60">
        <v>30</v>
      </c>
      <c r="B60" t="s">
        <v>10</v>
      </c>
      <c r="C60" t="s">
        <v>11</v>
      </c>
      <c r="D60" s="1" t="s">
        <v>1153</v>
      </c>
      <c r="E60">
        <f t="array" ref="E60">SUMPRODUCT(ISNUMBER(SEARCH(AgenticDict, D60))*1)</f>
        <v>11</v>
      </c>
      <c r="F60">
        <f t="array" ref="F60">SUMPRODUCT(ISNUMBER(SEARCH(CommunalDict, D60))*1)</f>
        <v>3</v>
      </c>
      <c r="G60">
        <f t="array" ref="G60">SUMPRODUCT(ISNUMBER(SEARCH(NeutralDict, D60))*1)</f>
        <v>13</v>
      </c>
      <c r="H60">
        <f t="shared" si="3"/>
        <v>0</v>
      </c>
      <c r="I60">
        <f t="shared" si="4"/>
        <v>146</v>
      </c>
      <c r="J60">
        <f>SUM( I60 / VLOOKUP(A60, BaseUP!A:H, 8, FALSE)*100)</f>
        <v>106.56934306569343</v>
      </c>
      <c r="K60">
        <f t="shared" si="5"/>
        <v>7.5342465753424657</v>
      </c>
      <c r="L60" t="s">
        <v>679</v>
      </c>
      <c r="M60" t="str">
        <f t="shared" si="6"/>
        <v>Pass</v>
      </c>
    </row>
    <row r="61" spans="1:13" ht="342" x14ac:dyDescent="0.25">
      <c r="A61">
        <v>30</v>
      </c>
      <c r="B61" t="s">
        <v>10</v>
      </c>
      <c r="C61" t="s">
        <v>13</v>
      </c>
      <c r="D61" s="1" t="s">
        <v>1154</v>
      </c>
      <c r="E61">
        <f t="array" ref="E61">SUMPRODUCT(ISNUMBER(SEARCH(AgenticDict, D61))*1)</f>
        <v>2</v>
      </c>
      <c r="F61">
        <f t="array" ref="F61">SUMPRODUCT(ISNUMBER(SEARCH(CommunalDict, D61))*1)</f>
        <v>12</v>
      </c>
      <c r="G61">
        <f t="array" ref="G61">SUMPRODUCT(ISNUMBER(SEARCH(NeutralDict, D61))*1)</f>
        <v>12</v>
      </c>
      <c r="H61">
        <f t="shared" si="3"/>
        <v>0</v>
      </c>
      <c r="I61">
        <f t="shared" si="4"/>
        <v>140</v>
      </c>
      <c r="J61">
        <f>SUM( I61 / VLOOKUP(A61, BaseUP!A:H, 8, FALSE)*100)</f>
        <v>102.18978102189782</v>
      </c>
      <c r="K61">
        <f t="shared" si="5"/>
        <v>8.5714285714285712</v>
      </c>
      <c r="L61" t="s">
        <v>679</v>
      </c>
      <c r="M61" t="str">
        <f t="shared" si="6"/>
        <v>Pass</v>
      </c>
    </row>
    <row r="62" spans="1:13" ht="324" x14ac:dyDescent="0.25">
      <c r="A62">
        <v>31</v>
      </c>
      <c r="B62" t="s">
        <v>10</v>
      </c>
      <c r="C62" t="s">
        <v>11</v>
      </c>
      <c r="D62" s="1" t="s">
        <v>1155</v>
      </c>
      <c r="E62">
        <f t="array" ref="E62">SUMPRODUCT(ISNUMBER(SEARCH(AgenticDict, D62))*1)</f>
        <v>8</v>
      </c>
      <c r="F62">
        <f t="array" ref="F62">SUMPRODUCT(ISNUMBER(SEARCH(CommunalDict, D62))*1)</f>
        <v>3</v>
      </c>
      <c r="G62">
        <f t="array" ref="G62">SUMPRODUCT(ISNUMBER(SEARCH(NeutralDict, D62))*1)</f>
        <v>12</v>
      </c>
      <c r="H62">
        <f t="shared" si="3"/>
        <v>0</v>
      </c>
      <c r="I62">
        <f t="shared" si="4"/>
        <v>137</v>
      </c>
      <c r="J62">
        <f>SUM( I62 / VLOOKUP(A62, BaseUP!A:H, 8, FALSE)*100)</f>
        <v>103.00751879699249</v>
      </c>
      <c r="K62">
        <f t="shared" si="5"/>
        <v>5.8394160583941606</v>
      </c>
      <c r="L62" t="s">
        <v>679</v>
      </c>
      <c r="M62" t="str">
        <f t="shared" si="6"/>
        <v>Pass</v>
      </c>
    </row>
    <row r="63" spans="1:13" ht="324" x14ac:dyDescent="0.25">
      <c r="A63">
        <v>31</v>
      </c>
      <c r="B63" t="s">
        <v>10</v>
      </c>
      <c r="C63" t="s">
        <v>13</v>
      </c>
      <c r="D63" s="1" t="s">
        <v>1156</v>
      </c>
      <c r="E63">
        <f t="array" ref="E63">SUMPRODUCT(ISNUMBER(SEARCH(AgenticDict, D63))*1)</f>
        <v>0</v>
      </c>
      <c r="F63">
        <f t="array" ref="F63">SUMPRODUCT(ISNUMBER(SEARCH(CommunalDict, D63))*1)</f>
        <v>9</v>
      </c>
      <c r="G63">
        <f t="array" ref="G63">SUMPRODUCT(ISNUMBER(SEARCH(NeutralDict, D63))*1)</f>
        <v>13</v>
      </c>
      <c r="H63">
        <f t="shared" si="3"/>
        <v>0</v>
      </c>
      <c r="I63">
        <f t="shared" si="4"/>
        <v>135</v>
      </c>
      <c r="J63">
        <f>SUM( I63 / VLOOKUP(A63, BaseUP!A:H, 8, FALSE)*100)</f>
        <v>101.50375939849626</v>
      </c>
      <c r="K63">
        <f t="shared" si="5"/>
        <v>6.666666666666667</v>
      </c>
      <c r="L63" t="s">
        <v>679</v>
      </c>
      <c r="M63" t="str">
        <f t="shared" si="6"/>
        <v>Pass</v>
      </c>
    </row>
    <row r="64" spans="1:13" ht="324" x14ac:dyDescent="0.25">
      <c r="A64">
        <v>32</v>
      </c>
      <c r="B64" t="s">
        <v>10</v>
      </c>
      <c r="C64" t="s">
        <v>11</v>
      </c>
      <c r="D64" s="1" t="s">
        <v>1157</v>
      </c>
      <c r="E64">
        <f t="array" ref="E64">SUMPRODUCT(ISNUMBER(SEARCH(AgenticDict, D64))*1)</f>
        <v>9</v>
      </c>
      <c r="F64">
        <f t="array" ref="F64">SUMPRODUCT(ISNUMBER(SEARCH(CommunalDict, D64))*1)</f>
        <v>1</v>
      </c>
      <c r="G64">
        <f t="array" ref="G64">SUMPRODUCT(ISNUMBER(SEARCH(NeutralDict, D64))*1)</f>
        <v>10</v>
      </c>
      <c r="H64">
        <f t="shared" si="3"/>
        <v>0</v>
      </c>
      <c r="I64">
        <f t="shared" si="4"/>
        <v>125</v>
      </c>
      <c r="J64">
        <f>SUM( I64 / VLOOKUP(A64, BaseUP!A:H, 8, FALSE)*100)</f>
        <v>99.206349206349216</v>
      </c>
      <c r="K64">
        <f t="shared" si="5"/>
        <v>7.1999999999999993</v>
      </c>
      <c r="L64" t="s">
        <v>679</v>
      </c>
      <c r="M64" t="str">
        <f t="shared" si="6"/>
        <v>Pass</v>
      </c>
    </row>
    <row r="65" spans="1:13" ht="324" x14ac:dyDescent="0.25">
      <c r="A65">
        <v>32</v>
      </c>
      <c r="B65" t="s">
        <v>10</v>
      </c>
      <c r="C65" t="s">
        <v>13</v>
      </c>
      <c r="D65" s="1" t="s">
        <v>1158</v>
      </c>
      <c r="E65">
        <f t="array" ref="E65">SUMPRODUCT(ISNUMBER(SEARCH(AgenticDict, D65))*1)</f>
        <v>1</v>
      </c>
      <c r="F65">
        <f t="array" ref="F65">SUMPRODUCT(ISNUMBER(SEARCH(CommunalDict, D65))*1)</f>
        <v>8</v>
      </c>
      <c r="G65">
        <f t="array" ref="G65">SUMPRODUCT(ISNUMBER(SEARCH(NeutralDict, D65))*1)</f>
        <v>11</v>
      </c>
      <c r="H65">
        <f t="shared" si="3"/>
        <v>0</v>
      </c>
      <c r="I65">
        <f t="shared" si="4"/>
        <v>128</v>
      </c>
      <c r="J65">
        <f>SUM( I65 / VLOOKUP(A65, BaseUP!A:H, 8, FALSE)*100)</f>
        <v>101.58730158730158</v>
      </c>
      <c r="K65">
        <f t="shared" si="5"/>
        <v>6.25</v>
      </c>
      <c r="L65" t="s">
        <v>679</v>
      </c>
      <c r="M65" t="str">
        <f t="shared" si="6"/>
        <v>Pass</v>
      </c>
    </row>
    <row r="66" spans="1:13" ht="324" x14ac:dyDescent="0.25">
      <c r="A66">
        <v>33</v>
      </c>
      <c r="B66" t="s">
        <v>10</v>
      </c>
      <c r="C66" t="s">
        <v>11</v>
      </c>
      <c r="D66" s="1" t="s">
        <v>1159</v>
      </c>
      <c r="E66">
        <f t="array" ref="E66">SUMPRODUCT(ISNUMBER(SEARCH(AgenticDict, D66))*1)</f>
        <v>8</v>
      </c>
      <c r="F66">
        <f t="array" ref="F66">SUMPRODUCT(ISNUMBER(SEARCH(CommunalDict, D66))*1)</f>
        <v>2</v>
      </c>
      <c r="G66">
        <f t="array" ref="G66">SUMPRODUCT(ISNUMBER(SEARCH(NeutralDict, D66))*1)</f>
        <v>13</v>
      </c>
      <c r="H66">
        <f t="shared" si="3"/>
        <v>0</v>
      </c>
      <c r="I66">
        <f t="shared" si="4"/>
        <v>141</v>
      </c>
      <c r="J66">
        <f>SUM( I66 / VLOOKUP(A66, BaseUP!A:H, 8, FALSE)*100)</f>
        <v>97.916666666666657</v>
      </c>
      <c r="K66">
        <f t="shared" si="5"/>
        <v>5.6737588652482271</v>
      </c>
      <c r="L66" t="s">
        <v>679</v>
      </c>
      <c r="M66" t="str">
        <f t="shared" si="6"/>
        <v>Pass</v>
      </c>
    </row>
    <row r="67" spans="1:13" ht="324" x14ac:dyDescent="0.25">
      <c r="A67">
        <v>33</v>
      </c>
      <c r="B67" t="s">
        <v>10</v>
      </c>
      <c r="C67" t="s">
        <v>13</v>
      </c>
      <c r="D67" s="1" t="s">
        <v>1160</v>
      </c>
      <c r="E67">
        <f t="array" ref="E67">SUMPRODUCT(ISNUMBER(SEARCH(AgenticDict, D67))*1)</f>
        <v>0</v>
      </c>
      <c r="F67">
        <f t="array" ref="F67">SUMPRODUCT(ISNUMBER(SEARCH(CommunalDict, D67))*1)</f>
        <v>9</v>
      </c>
      <c r="G67">
        <f t="array" ref="G67">SUMPRODUCT(ISNUMBER(SEARCH(NeutralDict, D67))*1)</f>
        <v>14</v>
      </c>
      <c r="H67">
        <f t="shared" ref="H67:H130" si="7">SUMPRODUCT(ISNUMBER(SEARCH(NegativeDict, D67))*1)</f>
        <v>0</v>
      </c>
      <c r="I67">
        <f t="shared" ref="I67:I130" si="8">IF(LEN(TRIM(D67))=0,0,LEN(TRIM(D67))-LEN(SUBSTITUTE(TRIM(D67)," ",""))+7)</f>
        <v>151</v>
      </c>
      <c r="J67">
        <f>SUM( I67 / VLOOKUP(A67, BaseUP!A:H, 8, FALSE)*100)</f>
        <v>104.86111111111111</v>
      </c>
      <c r="K67">
        <f t="shared" ref="K67:K130" si="9">IF($C67="Agentic",SUM(E67/I67*100),SUM(F67/I67*100))</f>
        <v>5.9602649006622519</v>
      </c>
      <c r="L67" t="s">
        <v>679</v>
      </c>
      <c r="M67" t="str">
        <f t="shared" ref="M67:M130" si="10">IF(AND(J67&lt;=112, J67&gt;=90, K67&lt;=10.5, K67&gt;=4.5, L67="[]"), "Pass", "Fail")</f>
        <v>Pass</v>
      </c>
    </row>
    <row r="68" spans="1:13" ht="342" x14ac:dyDescent="0.25">
      <c r="A68">
        <v>34</v>
      </c>
      <c r="B68" t="s">
        <v>10</v>
      </c>
      <c r="C68" t="s">
        <v>11</v>
      </c>
      <c r="D68" s="1" t="s">
        <v>1161</v>
      </c>
      <c r="E68">
        <f t="array" ref="E68">SUMPRODUCT(ISNUMBER(SEARCH(AgenticDict, D68))*1)</f>
        <v>12</v>
      </c>
      <c r="F68">
        <f t="array" ref="F68">SUMPRODUCT(ISNUMBER(SEARCH(CommunalDict, D68))*1)</f>
        <v>2</v>
      </c>
      <c r="G68">
        <f t="array" ref="G68">SUMPRODUCT(ISNUMBER(SEARCH(NeutralDict, D68))*1)</f>
        <v>14</v>
      </c>
      <c r="H68">
        <f t="shared" si="7"/>
        <v>0</v>
      </c>
      <c r="I68">
        <f t="shared" si="8"/>
        <v>135</v>
      </c>
      <c r="J68">
        <f>SUM( I68 / VLOOKUP(A68, BaseUP!A:H, 8, FALSE)*100)</f>
        <v>107.14285714285714</v>
      </c>
      <c r="K68">
        <f t="shared" si="9"/>
        <v>8.8888888888888893</v>
      </c>
      <c r="L68" t="s">
        <v>679</v>
      </c>
      <c r="M68" t="str">
        <f t="shared" si="10"/>
        <v>Pass</v>
      </c>
    </row>
    <row r="69" spans="1:13" ht="324" x14ac:dyDescent="0.25">
      <c r="A69">
        <v>34</v>
      </c>
      <c r="B69" t="s">
        <v>10</v>
      </c>
      <c r="C69" t="s">
        <v>13</v>
      </c>
      <c r="D69" s="1" t="s">
        <v>1162</v>
      </c>
      <c r="E69">
        <f t="array" ref="E69">SUMPRODUCT(ISNUMBER(SEARCH(AgenticDict, D69))*1)</f>
        <v>1</v>
      </c>
      <c r="F69">
        <f t="array" ref="F69">SUMPRODUCT(ISNUMBER(SEARCH(CommunalDict, D69))*1)</f>
        <v>10</v>
      </c>
      <c r="G69">
        <f t="array" ref="G69">SUMPRODUCT(ISNUMBER(SEARCH(NeutralDict, D69))*1)</f>
        <v>14</v>
      </c>
      <c r="H69">
        <f t="shared" si="7"/>
        <v>0</v>
      </c>
      <c r="I69">
        <f t="shared" si="8"/>
        <v>127</v>
      </c>
      <c r="J69">
        <f>SUM( I69 / VLOOKUP(A69, BaseUP!A:H, 8, FALSE)*100)</f>
        <v>100.79365079365078</v>
      </c>
      <c r="K69">
        <f t="shared" si="9"/>
        <v>7.8740157480314963</v>
      </c>
      <c r="L69" t="s">
        <v>679</v>
      </c>
      <c r="M69" t="str">
        <f t="shared" si="10"/>
        <v>Pass</v>
      </c>
    </row>
    <row r="70" spans="1:13" ht="342" x14ac:dyDescent="0.25">
      <c r="A70">
        <v>35</v>
      </c>
      <c r="B70" t="s">
        <v>69</v>
      </c>
      <c r="C70" t="s">
        <v>11</v>
      </c>
      <c r="D70" s="1" t="s">
        <v>1163</v>
      </c>
      <c r="E70">
        <f t="array" ref="E70">SUMPRODUCT(ISNUMBER(SEARCH(AgenticDict, D70))*1)</f>
        <v>8</v>
      </c>
      <c r="F70">
        <f t="array" ref="F70">SUMPRODUCT(ISNUMBER(SEARCH(CommunalDict, D70))*1)</f>
        <v>0</v>
      </c>
      <c r="G70">
        <f t="array" ref="G70">SUMPRODUCT(ISNUMBER(SEARCH(NeutralDict, D70))*1)</f>
        <v>15</v>
      </c>
      <c r="H70">
        <f t="shared" si="7"/>
        <v>0</v>
      </c>
      <c r="I70">
        <f t="shared" si="8"/>
        <v>135</v>
      </c>
      <c r="J70">
        <f>SUM( I70 / VLOOKUP(A70, BaseUP!A:H, 8, FALSE)*100)</f>
        <v>100.74626865671641</v>
      </c>
      <c r="K70">
        <f t="shared" si="9"/>
        <v>5.9259259259259265</v>
      </c>
      <c r="L70" t="s">
        <v>679</v>
      </c>
      <c r="M70" t="str">
        <f t="shared" si="10"/>
        <v>Pass</v>
      </c>
    </row>
    <row r="71" spans="1:13" ht="342" x14ac:dyDescent="0.25">
      <c r="A71">
        <v>35</v>
      </c>
      <c r="B71" t="s">
        <v>69</v>
      </c>
      <c r="C71" t="s">
        <v>13</v>
      </c>
      <c r="D71" s="1" t="s">
        <v>1164</v>
      </c>
      <c r="E71">
        <f t="array" ref="E71">SUMPRODUCT(ISNUMBER(SEARCH(AgenticDict, D71))*1)</f>
        <v>3</v>
      </c>
      <c r="F71">
        <f t="array" ref="F71">SUMPRODUCT(ISNUMBER(SEARCH(CommunalDict, D71))*1)</f>
        <v>13</v>
      </c>
      <c r="G71">
        <f t="array" ref="G71">SUMPRODUCT(ISNUMBER(SEARCH(NeutralDict, D71))*1)</f>
        <v>11</v>
      </c>
      <c r="H71">
        <f t="shared" si="7"/>
        <v>0</v>
      </c>
      <c r="I71">
        <f t="shared" si="8"/>
        <v>133</v>
      </c>
      <c r="J71">
        <f>SUM( I71 / VLOOKUP(A71, BaseUP!A:H, 8, FALSE)*100)</f>
        <v>99.253731343283576</v>
      </c>
      <c r="K71">
        <f t="shared" si="9"/>
        <v>9.7744360902255636</v>
      </c>
      <c r="L71" t="s">
        <v>679</v>
      </c>
      <c r="M71" t="str">
        <f t="shared" si="10"/>
        <v>Pass</v>
      </c>
    </row>
    <row r="72" spans="1:13" ht="360" x14ac:dyDescent="0.25">
      <c r="A72">
        <v>36</v>
      </c>
      <c r="B72" t="s">
        <v>69</v>
      </c>
      <c r="C72" t="s">
        <v>11</v>
      </c>
      <c r="D72" s="1" t="s">
        <v>514</v>
      </c>
      <c r="E72">
        <f t="array" ref="E72">SUMPRODUCT(ISNUMBER(SEARCH(AgenticDict, D72))*1)</f>
        <v>10</v>
      </c>
      <c r="F72">
        <f t="array" ref="F72">SUMPRODUCT(ISNUMBER(SEARCH(CommunalDict, D72))*1)</f>
        <v>0</v>
      </c>
      <c r="G72">
        <f t="array" ref="G72">SUMPRODUCT(ISNUMBER(SEARCH(NeutralDict, D72))*1)</f>
        <v>15</v>
      </c>
      <c r="H72">
        <f t="shared" si="7"/>
        <v>0</v>
      </c>
      <c r="I72">
        <f t="shared" si="8"/>
        <v>140</v>
      </c>
      <c r="J72">
        <f>SUM( I72 / VLOOKUP(A72, BaseUP!A:H, 8, FALSE)*100)</f>
        <v>102.18978102189782</v>
      </c>
      <c r="K72">
        <f t="shared" si="9"/>
        <v>7.1428571428571423</v>
      </c>
      <c r="L72" t="s">
        <v>679</v>
      </c>
      <c r="M72" t="str">
        <f t="shared" si="10"/>
        <v>Pass</v>
      </c>
    </row>
    <row r="73" spans="1:13" ht="360" x14ac:dyDescent="0.25">
      <c r="A73">
        <v>36</v>
      </c>
      <c r="B73" t="s">
        <v>69</v>
      </c>
      <c r="C73" t="s">
        <v>13</v>
      </c>
      <c r="D73" s="1" t="s">
        <v>708</v>
      </c>
      <c r="E73">
        <f t="array" ref="E73">SUMPRODUCT(ISNUMBER(SEARCH(AgenticDict, D73))*1)</f>
        <v>4</v>
      </c>
      <c r="F73">
        <f t="array" ref="F73">SUMPRODUCT(ISNUMBER(SEARCH(CommunalDict, D73))*1)</f>
        <v>15</v>
      </c>
      <c r="G73">
        <f t="array" ref="G73">SUMPRODUCT(ISNUMBER(SEARCH(NeutralDict, D73))*1)</f>
        <v>13</v>
      </c>
      <c r="H73">
        <f t="shared" si="7"/>
        <v>0</v>
      </c>
      <c r="I73">
        <f t="shared" si="8"/>
        <v>145</v>
      </c>
      <c r="J73">
        <f>SUM( I73 / VLOOKUP(A73, BaseUP!A:H, 8, FALSE)*100)</f>
        <v>105.83941605839415</v>
      </c>
      <c r="K73">
        <f t="shared" si="9"/>
        <v>10.344827586206897</v>
      </c>
      <c r="L73" t="s">
        <v>679</v>
      </c>
      <c r="M73" t="str">
        <f t="shared" si="10"/>
        <v>Pass</v>
      </c>
    </row>
    <row r="74" spans="1:13" ht="324" x14ac:dyDescent="0.25">
      <c r="A74">
        <v>37</v>
      </c>
      <c r="B74" t="s">
        <v>69</v>
      </c>
      <c r="C74" t="s">
        <v>11</v>
      </c>
      <c r="D74" s="1" t="s">
        <v>1165</v>
      </c>
      <c r="E74">
        <f t="array" ref="E74">SUMPRODUCT(ISNUMBER(SEARCH(AgenticDict, D74))*1)</f>
        <v>9</v>
      </c>
      <c r="F74">
        <f t="array" ref="F74">SUMPRODUCT(ISNUMBER(SEARCH(CommunalDict, D74))*1)</f>
        <v>0</v>
      </c>
      <c r="G74">
        <f t="array" ref="G74">SUMPRODUCT(ISNUMBER(SEARCH(NeutralDict, D74))*1)</f>
        <v>13</v>
      </c>
      <c r="H74">
        <f t="shared" si="7"/>
        <v>0</v>
      </c>
      <c r="I74">
        <f t="shared" si="8"/>
        <v>140</v>
      </c>
      <c r="J74">
        <f>SUM( I74 / VLOOKUP(A74, BaseUP!A:H, 8, FALSE)*100)</f>
        <v>101.44927536231884</v>
      </c>
      <c r="K74">
        <f t="shared" si="9"/>
        <v>6.4285714285714279</v>
      </c>
      <c r="L74" t="s">
        <v>679</v>
      </c>
      <c r="M74" t="str">
        <f t="shared" si="10"/>
        <v>Pass</v>
      </c>
    </row>
    <row r="75" spans="1:13" ht="324" x14ac:dyDescent="0.25">
      <c r="A75">
        <v>37</v>
      </c>
      <c r="B75" t="s">
        <v>69</v>
      </c>
      <c r="C75" t="s">
        <v>13</v>
      </c>
      <c r="D75" s="1" t="s">
        <v>1166</v>
      </c>
      <c r="E75">
        <f t="array" ref="E75">SUMPRODUCT(ISNUMBER(SEARCH(AgenticDict, D75))*1)</f>
        <v>2</v>
      </c>
      <c r="F75">
        <f t="array" ref="F75">SUMPRODUCT(ISNUMBER(SEARCH(CommunalDict, D75))*1)</f>
        <v>15</v>
      </c>
      <c r="G75">
        <f t="array" ref="G75">SUMPRODUCT(ISNUMBER(SEARCH(NeutralDict, D75))*1)</f>
        <v>12</v>
      </c>
      <c r="H75">
        <f t="shared" si="7"/>
        <v>0</v>
      </c>
      <c r="I75">
        <f t="shared" si="8"/>
        <v>139</v>
      </c>
      <c r="J75">
        <f>SUM( I75 / VLOOKUP(A75, BaseUP!A:H, 8, FALSE)*100)</f>
        <v>100.72463768115942</v>
      </c>
      <c r="K75">
        <f t="shared" si="9"/>
        <v>10.791366906474821</v>
      </c>
      <c r="L75" t="s">
        <v>679</v>
      </c>
      <c r="M75" t="str">
        <f t="shared" si="10"/>
        <v>Fail</v>
      </c>
    </row>
    <row r="76" spans="1:13" ht="378" x14ac:dyDescent="0.25">
      <c r="A76">
        <v>38</v>
      </c>
      <c r="B76" t="s">
        <v>69</v>
      </c>
      <c r="C76" t="s">
        <v>11</v>
      </c>
      <c r="D76" s="1" t="s">
        <v>1167</v>
      </c>
      <c r="E76">
        <f t="array" ref="E76">SUMPRODUCT(ISNUMBER(SEARCH(AgenticDict, D76))*1)</f>
        <v>9</v>
      </c>
      <c r="F76">
        <f t="array" ref="F76">SUMPRODUCT(ISNUMBER(SEARCH(CommunalDict, D76))*1)</f>
        <v>0</v>
      </c>
      <c r="G76">
        <f t="array" ref="G76">SUMPRODUCT(ISNUMBER(SEARCH(NeutralDict, D76))*1)</f>
        <v>18</v>
      </c>
      <c r="H76">
        <f t="shared" si="7"/>
        <v>0</v>
      </c>
      <c r="I76">
        <f t="shared" si="8"/>
        <v>149</v>
      </c>
      <c r="J76">
        <f>SUM( I76 / VLOOKUP(A76, BaseUP!A:H, 8, FALSE)*100)</f>
        <v>101.36054421768708</v>
      </c>
      <c r="K76">
        <f t="shared" si="9"/>
        <v>6.0402684563758395</v>
      </c>
      <c r="L76" t="s">
        <v>679</v>
      </c>
      <c r="M76" t="str">
        <f t="shared" si="10"/>
        <v>Pass</v>
      </c>
    </row>
    <row r="77" spans="1:13" ht="360" x14ac:dyDescent="0.25">
      <c r="A77">
        <v>38</v>
      </c>
      <c r="B77" t="s">
        <v>69</v>
      </c>
      <c r="C77" t="s">
        <v>13</v>
      </c>
      <c r="D77" s="1" t="s">
        <v>1168</v>
      </c>
      <c r="E77">
        <f t="array" ref="E77">SUMPRODUCT(ISNUMBER(SEARCH(AgenticDict, D77))*1)</f>
        <v>2</v>
      </c>
      <c r="F77">
        <f t="array" ref="F77">SUMPRODUCT(ISNUMBER(SEARCH(CommunalDict, D77))*1)</f>
        <v>10</v>
      </c>
      <c r="G77">
        <f t="array" ref="G77">SUMPRODUCT(ISNUMBER(SEARCH(NeutralDict, D77))*1)</f>
        <v>18</v>
      </c>
      <c r="H77">
        <f t="shared" si="7"/>
        <v>0</v>
      </c>
      <c r="I77">
        <f t="shared" si="8"/>
        <v>150</v>
      </c>
      <c r="J77">
        <f>SUM( I77 / VLOOKUP(A77, BaseUP!A:H, 8, FALSE)*100)</f>
        <v>102.04081632653062</v>
      </c>
      <c r="K77">
        <f t="shared" si="9"/>
        <v>6.666666666666667</v>
      </c>
      <c r="L77" t="s">
        <v>679</v>
      </c>
      <c r="M77" t="str">
        <f t="shared" si="10"/>
        <v>Pass</v>
      </c>
    </row>
    <row r="78" spans="1:13" ht="342" x14ac:dyDescent="0.25">
      <c r="A78">
        <v>39</v>
      </c>
      <c r="B78" t="s">
        <v>69</v>
      </c>
      <c r="C78" t="s">
        <v>11</v>
      </c>
      <c r="D78" s="1" t="s">
        <v>1224</v>
      </c>
      <c r="E78">
        <f t="array" ref="E78">SUMPRODUCT(ISNUMBER(SEARCH(AgenticDict, D78))*1)</f>
        <v>13</v>
      </c>
      <c r="F78">
        <f t="array" ref="F78">SUMPRODUCT(ISNUMBER(SEARCH(CommunalDict, D78))*1)</f>
        <v>0</v>
      </c>
      <c r="G78">
        <f t="array" ref="G78">SUMPRODUCT(ISNUMBER(SEARCH(NeutralDict, D78))*1)</f>
        <v>12</v>
      </c>
      <c r="H78">
        <f t="shared" si="7"/>
        <v>0</v>
      </c>
      <c r="I78">
        <f t="shared" si="8"/>
        <v>148</v>
      </c>
      <c r="J78">
        <f>SUM( I78 / VLOOKUP(A78, BaseUP!A:H, 8, FALSE)*100)</f>
        <v>102.06896551724138</v>
      </c>
      <c r="K78">
        <f t="shared" si="9"/>
        <v>8.7837837837837842</v>
      </c>
      <c r="L78" t="s">
        <v>679</v>
      </c>
      <c r="M78" t="str">
        <f t="shared" si="10"/>
        <v>Pass</v>
      </c>
    </row>
    <row r="79" spans="1:13" ht="342" x14ac:dyDescent="0.25">
      <c r="A79">
        <v>39</v>
      </c>
      <c r="B79" t="s">
        <v>69</v>
      </c>
      <c r="C79" t="s">
        <v>13</v>
      </c>
      <c r="D79" s="1" t="s">
        <v>1225</v>
      </c>
      <c r="E79">
        <f t="array" ref="E79">SUMPRODUCT(ISNUMBER(SEARCH(AgenticDict, D79))*1)</f>
        <v>3</v>
      </c>
      <c r="F79">
        <f t="array" ref="F79">SUMPRODUCT(ISNUMBER(SEARCH(CommunalDict, D79))*1)</f>
        <v>8</v>
      </c>
      <c r="G79">
        <f t="array" ref="G79">SUMPRODUCT(ISNUMBER(SEARCH(NeutralDict, D79))*1)</f>
        <v>13</v>
      </c>
      <c r="H79">
        <f t="shared" si="7"/>
        <v>0</v>
      </c>
      <c r="I79">
        <f t="shared" si="8"/>
        <v>148</v>
      </c>
      <c r="J79">
        <f>SUM( I79 / VLOOKUP(A79, BaseUP!A:H, 8, FALSE)*100)</f>
        <v>102.06896551724138</v>
      </c>
      <c r="K79">
        <f t="shared" si="9"/>
        <v>5.4054054054054053</v>
      </c>
      <c r="L79" t="s">
        <v>679</v>
      </c>
      <c r="M79" t="str">
        <f t="shared" si="10"/>
        <v>Pass</v>
      </c>
    </row>
    <row r="80" spans="1:13" ht="342" x14ac:dyDescent="0.25">
      <c r="A80">
        <v>40</v>
      </c>
      <c r="B80" t="s">
        <v>69</v>
      </c>
      <c r="C80" t="s">
        <v>11</v>
      </c>
      <c r="D80" s="1" t="s">
        <v>1169</v>
      </c>
      <c r="E80">
        <f t="array" ref="E80">SUMPRODUCT(ISNUMBER(SEARCH(AgenticDict, D80))*1)</f>
        <v>10</v>
      </c>
      <c r="F80">
        <f t="array" ref="F80">SUMPRODUCT(ISNUMBER(SEARCH(CommunalDict, D80))*1)</f>
        <v>0</v>
      </c>
      <c r="G80">
        <f t="array" ref="G80">SUMPRODUCT(ISNUMBER(SEARCH(NeutralDict, D80))*1)</f>
        <v>17</v>
      </c>
      <c r="H80">
        <f t="shared" si="7"/>
        <v>0</v>
      </c>
      <c r="I80">
        <f t="shared" si="8"/>
        <v>143</v>
      </c>
      <c r="J80">
        <f>SUM( I80 / VLOOKUP(A80, BaseUP!A:H, 8, FALSE)*100)</f>
        <v>104.37956204379562</v>
      </c>
      <c r="K80">
        <f t="shared" si="9"/>
        <v>6.9930069930069934</v>
      </c>
      <c r="L80" t="s">
        <v>679</v>
      </c>
      <c r="M80" t="str">
        <f t="shared" si="10"/>
        <v>Pass</v>
      </c>
    </row>
    <row r="81" spans="1:13" ht="342" x14ac:dyDescent="0.25">
      <c r="A81">
        <v>40</v>
      </c>
      <c r="B81" t="s">
        <v>69</v>
      </c>
      <c r="C81" t="s">
        <v>13</v>
      </c>
      <c r="D81" s="1" t="s">
        <v>1170</v>
      </c>
      <c r="E81">
        <f t="array" ref="E81">SUMPRODUCT(ISNUMBER(SEARCH(AgenticDict, D81))*1)</f>
        <v>3</v>
      </c>
      <c r="F81">
        <f t="array" ref="F81">SUMPRODUCT(ISNUMBER(SEARCH(CommunalDict, D81))*1)</f>
        <v>12</v>
      </c>
      <c r="G81">
        <f t="array" ref="G81">SUMPRODUCT(ISNUMBER(SEARCH(NeutralDict, D81))*1)</f>
        <v>15</v>
      </c>
      <c r="H81">
        <f t="shared" si="7"/>
        <v>0</v>
      </c>
      <c r="I81">
        <f t="shared" si="8"/>
        <v>140</v>
      </c>
      <c r="J81">
        <f>SUM( I81 / VLOOKUP(A81, BaseUP!A:H, 8, FALSE)*100)</f>
        <v>102.18978102189782</v>
      </c>
      <c r="K81">
        <f t="shared" si="9"/>
        <v>8.5714285714285712</v>
      </c>
      <c r="L81" t="s">
        <v>679</v>
      </c>
      <c r="M81" t="str">
        <f t="shared" si="10"/>
        <v>Pass</v>
      </c>
    </row>
    <row r="82" spans="1:13" ht="378" x14ac:dyDescent="0.25">
      <c r="A82">
        <v>41</v>
      </c>
      <c r="B82" t="s">
        <v>69</v>
      </c>
      <c r="C82" t="s">
        <v>11</v>
      </c>
      <c r="D82" s="1" t="s">
        <v>704</v>
      </c>
      <c r="E82">
        <f t="array" ref="E82">SUMPRODUCT(ISNUMBER(SEARCH(AgenticDict, D82))*1)</f>
        <v>14</v>
      </c>
      <c r="F82">
        <f t="array" ref="F82">SUMPRODUCT(ISNUMBER(SEARCH(CommunalDict, D82))*1)</f>
        <v>0</v>
      </c>
      <c r="G82">
        <f t="array" ref="G82">SUMPRODUCT(ISNUMBER(SEARCH(NeutralDict, D82))*1)</f>
        <v>12</v>
      </c>
      <c r="H82">
        <f t="shared" si="7"/>
        <v>0</v>
      </c>
      <c r="I82">
        <f t="shared" si="8"/>
        <v>156</v>
      </c>
      <c r="J82">
        <f>SUM( I82 / VLOOKUP(A82, BaseUP!A:H, 8, FALSE)*100)</f>
        <v>101.96078431372548</v>
      </c>
      <c r="K82">
        <f t="shared" si="9"/>
        <v>8.9743589743589745</v>
      </c>
      <c r="L82" t="s">
        <v>679</v>
      </c>
      <c r="M82" t="str">
        <f t="shared" si="10"/>
        <v>Pass</v>
      </c>
    </row>
    <row r="83" spans="1:13" ht="378" x14ac:dyDescent="0.25">
      <c r="A83">
        <v>41</v>
      </c>
      <c r="B83" t="s">
        <v>69</v>
      </c>
      <c r="C83" t="s">
        <v>13</v>
      </c>
      <c r="D83" s="1" t="s">
        <v>1077</v>
      </c>
      <c r="E83">
        <f t="array" ref="E83">SUMPRODUCT(ISNUMBER(SEARCH(AgenticDict, D83))*1)</f>
        <v>2</v>
      </c>
      <c r="F83">
        <f t="array" ref="F83">SUMPRODUCT(ISNUMBER(SEARCH(CommunalDict, D83))*1)</f>
        <v>9</v>
      </c>
      <c r="G83">
        <f t="array" ref="G83">SUMPRODUCT(ISNUMBER(SEARCH(NeutralDict, D83))*1)</f>
        <v>18</v>
      </c>
      <c r="H83">
        <f t="shared" si="7"/>
        <v>0</v>
      </c>
      <c r="I83">
        <f t="shared" si="8"/>
        <v>164</v>
      </c>
      <c r="J83">
        <f>SUM( I83 / VLOOKUP(A83, BaseUP!A:H, 8, FALSE)*100)</f>
        <v>107.18954248366013</v>
      </c>
      <c r="K83">
        <f t="shared" si="9"/>
        <v>5.4878048780487809</v>
      </c>
      <c r="L83" t="s">
        <v>679</v>
      </c>
      <c r="M83" t="str">
        <f t="shared" si="10"/>
        <v>Pass</v>
      </c>
    </row>
    <row r="84" spans="1:13" ht="342" x14ac:dyDescent="0.25">
      <c r="A84">
        <v>42</v>
      </c>
      <c r="B84" t="s">
        <v>69</v>
      </c>
      <c r="C84" t="s">
        <v>11</v>
      </c>
      <c r="D84" s="1" t="s">
        <v>1171</v>
      </c>
      <c r="E84">
        <f t="array" ref="E84">SUMPRODUCT(ISNUMBER(SEARCH(AgenticDict, D84))*1)</f>
        <v>13</v>
      </c>
      <c r="F84">
        <f t="array" ref="F84">SUMPRODUCT(ISNUMBER(SEARCH(CommunalDict, D84))*1)</f>
        <v>0</v>
      </c>
      <c r="G84">
        <f t="array" ref="G84">SUMPRODUCT(ISNUMBER(SEARCH(NeutralDict, D84))*1)</f>
        <v>15</v>
      </c>
      <c r="H84">
        <f t="shared" si="7"/>
        <v>0</v>
      </c>
      <c r="I84">
        <f t="shared" si="8"/>
        <v>145</v>
      </c>
      <c r="J84">
        <f>SUM( I84 / VLOOKUP(A84, BaseUP!A:H, 8, FALSE)*100)</f>
        <v>102.11267605633803</v>
      </c>
      <c r="K84">
        <f t="shared" si="9"/>
        <v>8.9655172413793096</v>
      </c>
      <c r="L84" t="s">
        <v>679</v>
      </c>
      <c r="M84" t="str">
        <f t="shared" si="10"/>
        <v>Pass</v>
      </c>
    </row>
    <row r="85" spans="1:13" ht="342" x14ac:dyDescent="0.25">
      <c r="A85">
        <v>42</v>
      </c>
      <c r="B85" t="s">
        <v>69</v>
      </c>
      <c r="C85" t="s">
        <v>13</v>
      </c>
      <c r="D85" s="1" t="s">
        <v>1172</v>
      </c>
      <c r="E85">
        <f t="array" ref="E85">SUMPRODUCT(ISNUMBER(SEARCH(AgenticDict, D85))*1)</f>
        <v>2</v>
      </c>
      <c r="F85">
        <f t="array" ref="F85">SUMPRODUCT(ISNUMBER(SEARCH(CommunalDict, D85))*1)</f>
        <v>13</v>
      </c>
      <c r="G85">
        <f t="array" ref="G85">SUMPRODUCT(ISNUMBER(SEARCH(NeutralDict, D85))*1)</f>
        <v>16</v>
      </c>
      <c r="H85">
        <f t="shared" si="7"/>
        <v>0</v>
      </c>
      <c r="I85">
        <f t="shared" si="8"/>
        <v>146</v>
      </c>
      <c r="J85">
        <f>SUM( I85 / VLOOKUP(A85, BaseUP!A:H, 8, FALSE)*100)</f>
        <v>102.8169014084507</v>
      </c>
      <c r="K85">
        <f t="shared" si="9"/>
        <v>8.9041095890410951</v>
      </c>
      <c r="L85" t="s">
        <v>679</v>
      </c>
      <c r="M85" t="str">
        <f t="shared" si="10"/>
        <v>Pass</v>
      </c>
    </row>
    <row r="86" spans="1:13" ht="360" x14ac:dyDescent="0.25">
      <c r="A86">
        <v>43</v>
      </c>
      <c r="B86" t="s">
        <v>69</v>
      </c>
      <c r="C86" t="s">
        <v>11</v>
      </c>
      <c r="D86" s="1" t="s">
        <v>1173</v>
      </c>
      <c r="E86">
        <f t="array" ref="E86">SUMPRODUCT(ISNUMBER(SEARCH(AgenticDict, D86))*1)</f>
        <v>9</v>
      </c>
      <c r="F86">
        <f t="array" ref="F86">SUMPRODUCT(ISNUMBER(SEARCH(CommunalDict, D86))*1)</f>
        <v>1</v>
      </c>
      <c r="G86">
        <f t="array" ref="G86">SUMPRODUCT(ISNUMBER(SEARCH(NeutralDict, D86))*1)</f>
        <v>13</v>
      </c>
      <c r="H86">
        <f t="shared" si="7"/>
        <v>0</v>
      </c>
      <c r="I86">
        <f t="shared" si="8"/>
        <v>148</v>
      </c>
      <c r="J86">
        <f>SUM( I86 / VLOOKUP(A86, BaseUP!A:H, 8, FALSE)*100)</f>
        <v>101.36986301369863</v>
      </c>
      <c r="K86">
        <f t="shared" si="9"/>
        <v>6.0810810810810816</v>
      </c>
      <c r="L86" t="s">
        <v>679</v>
      </c>
      <c r="M86" t="str">
        <f t="shared" si="10"/>
        <v>Pass</v>
      </c>
    </row>
    <row r="87" spans="1:13" ht="360" x14ac:dyDescent="0.25">
      <c r="A87">
        <v>43</v>
      </c>
      <c r="B87" t="s">
        <v>69</v>
      </c>
      <c r="C87" t="s">
        <v>13</v>
      </c>
      <c r="D87" s="1" t="s">
        <v>1174</v>
      </c>
      <c r="E87">
        <f t="array" ref="E87">SUMPRODUCT(ISNUMBER(SEARCH(AgenticDict, D87))*1)</f>
        <v>1</v>
      </c>
      <c r="F87">
        <f t="array" ref="F87">SUMPRODUCT(ISNUMBER(SEARCH(CommunalDict, D87))*1)</f>
        <v>8</v>
      </c>
      <c r="G87">
        <f t="array" ref="G87">SUMPRODUCT(ISNUMBER(SEARCH(NeutralDict, D87))*1)</f>
        <v>14</v>
      </c>
      <c r="H87">
        <f t="shared" si="7"/>
        <v>0</v>
      </c>
      <c r="I87">
        <f t="shared" si="8"/>
        <v>151</v>
      </c>
      <c r="J87">
        <f>SUM( I87 / VLOOKUP(A87, BaseUP!A:H, 8, FALSE)*100)</f>
        <v>103.42465753424656</v>
      </c>
      <c r="K87">
        <f t="shared" si="9"/>
        <v>5.298013245033113</v>
      </c>
      <c r="L87" t="s">
        <v>679</v>
      </c>
      <c r="M87" t="str">
        <f t="shared" si="10"/>
        <v>Pass</v>
      </c>
    </row>
    <row r="88" spans="1:13" ht="342" x14ac:dyDescent="0.25">
      <c r="A88">
        <v>44</v>
      </c>
      <c r="B88" t="s">
        <v>69</v>
      </c>
      <c r="C88" t="s">
        <v>11</v>
      </c>
      <c r="D88" s="1" t="s">
        <v>1175</v>
      </c>
      <c r="E88">
        <f t="array" ref="E88">SUMPRODUCT(ISNUMBER(SEARCH(AgenticDict, D88))*1)</f>
        <v>12</v>
      </c>
      <c r="F88">
        <f t="array" ref="F88">SUMPRODUCT(ISNUMBER(SEARCH(CommunalDict, D88))*1)</f>
        <v>0</v>
      </c>
      <c r="G88">
        <f t="array" ref="G88">SUMPRODUCT(ISNUMBER(SEARCH(NeutralDict, D88))*1)</f>
        <v>14</v>
      </c>
      <c r="H88">
        <f t="shared" si="7"/>
        <v>0</v>
      </c>
      <c r="I88">
        <f t="shared" si="8"/>
        <v>128</v>
      </c>
      <c r="J88">
        <f>SUM( I88 / VLOOKUP(A88, BaseUP!A:H, 8, FALSE)*100)</f>
        <v>105.78512396694215</v>
      </c>
      <c r="K88">
        <f t="shared" si="9"/>
        <v>9.375</v>
      </c>
      <c r="L88" t="s">
        <v>679</v>
      </c>
      <c r="M88" t="str">
        <f t="shared" si="10"/>
        <v>Pass</v>
      </c>
    </row>
    <row r="89" spans="1:13" ht="324" x14ac:dyDescent="0.25">
      <c r="A89">
        <v>44</v>
      </c>
      <c r="B89" t="s">
        <v>69</v>
      </c>
      <c r="C89" t="s">
        <v>13</v>
      </c>
      <c r="D89" s="1" t="s">
        <v>1176</v>
      </c>
      <c r="E89">
        <f t="array" ref="E89">SUMPRODUCT(ISNUMBER(SEARCH(AgenticDict, D89))*1)</f>
        <v>1</v>
      </c>
      <c r="F89">
        <f t="array" ref="F89">SUMPRODUCT(ISNUMBER(SEARCH(CommunalDict, D89))*1)</f>
        <v>12</v>
      </c>
      <c r="G89">
        <f t="array" ref="G89">SUMPRODUCT(ISNUMBER(SEARCH(NeutralDict, D89))*1)</f>
        <v>16</v>
      </c>
      <c r="H89">
        <f t="shared" si="7"/>
        <v>0</v>
      </c>
      <c r="I89">
        <f t="shared" si="8"/>
        <v>123</v>
      </c>
      <c r="J89">
        <f>SUM( I89 / VLOOKUP(A89, BaseUP!A:H, 8, FALSE)*100)</f>
        <v>101.65289256198346</v>
      </c>
      <c r="K89">
        <f t="shared" si="9"/>
        <v>9.7560975609756095</v>
      </c>
      <c r="L89" t="s">
        <v>679</v>
      </c>
      <c r="M89" t="str">
        <f t="shared" si="10"/>
        <v>Pass</v>
      </c>
    </row>
    <row r="90" spans="1:13" ht="342" x14ac:dyDescent="0.25">
      <c r="A90">
        <v>45</v>
      </c>
      <c r="B90" t="s">
        <v>69</v>
      </c>
      <c r="C90" t="s">
        <v>11</v>
      </c>
      <c r="D90" s="1" t="s">
        <v>1177</v>
      </c>
      <c r="E90">
        <f t="array" ref="E90">SUMPRODUCT(ISNUMBER(SEARCH(AgenticDict, D90))*1)</f>
        <v>11</v>
      </c>
      <c r="F90">
        <f t="array" ref="F90">SUMPRODUCT(ISNUMBER(SEARCH(CommunalDict, D90))*1)</f>
        <v>1</v>
      </c>
      <c r="G90">
        <f t="array" ref="G90">SUMPRODUCT(ISNUMBER(SEARCH(NeutralDict, D90))*1)</f>
        <v>10</v>
      </c>
      <c r="H90">
        <f t="shared" si="7"/>
        <v>0</v>
      </c>
      <c r="I90">
        <f t="shared" si="8"/>
        <v>144</v>
      </c>
      <c r="J90">
        <f>SUM( I90 / VLOOKUP(A90, BaseUP!A:H, 8, FALSE)*100)</f>
        <v>100.69930069930071</v>
      </c>
      <c r="K90">
        <f t="shared" si="9"/>
        <v>7.6388888888888893</v>
      </c>
      <c r="L90" t="s">
        <v>679</v>
      </c>
      <c r="M90" t="str">
        <f t="shared" si="10"/>
        <v>Pass</v>
      </c>
    </row>
    <row r="91" spans="1:13" ht="342" x14ac:dyDescent="0.25">
      <c r="A91">
        <v>45</v>
      </c>
      <c r="B91" t="s">
        <v>69</v>
      </c>
      <c r="C91" t="s">
        <v>13</v>
      </c>
      <c r="D91" s="1" t="s">
        <v>1178</v>
      </c>
      <c r="E91">
        <f t="array" ref="E91">SUMPRODUCT(ISNUMBER(SEARCH(AgenticDict, D91))*1)</f>
        <v>0</v>
      </c>
      <c r="F91">
        <f t="array" ref="F91">SUMPRODUCT(ISNUMBER(SEARCH(CommunalDict, D91))*1)</f>
        <v>8</v>
      </c>
      <c r="G91">
        <f t="array" ref="G91">SUMPRODUCT(ISNUMBER(SEARCH(NeutralDict, D91))*1)</f>
        <v>12</v>
      </c>
      <c r="H91">
        <f t="shared" si="7"/>
        <v>0</v>
      </c>
      <c r="I91">
        <f t="shared" si="8"/>
        <v>154</v>
      </c>
      <c r="J91">
        <f>SUM( I91 / VLOOKUP(A91, BaseUP!A:H, 8, FALSE)*100)</f>
        <v>107.69230769230769</v>
      </c>
      <c r="K91">
        <f t="shared" si="9"/>
        <v>5.1948051948051948</v>
      </c>
      <c r="L91" t="s">
        <v>679</v>
      </c>
      <c r="M91" t="str">
        <f t="shared" si="10"/>
        <v>Pass</v>
      </c>
    </row>
    <row r="92" spans="1:13" ht="342" x14ac:dyDescent="0.25">
      <c r="A92">
        <v>46</v>
      </c>
      <c r="B92" t="s">
        <v>69</v>
      </c>
      <c r="C92" t="s">
        <v>11</v>
      </c>
      <c r="D92" s="1" t="s">
        <v>522</v>
      </c>
      <c r="E92">
        <f t="array" ref="E92">SUMPRODUCT(ISNUMBER(SEARCH(AgenticDict, D92))*1)</f>
        <v>12</v>
      </c>
      <c r="F92">
        <f t="array" ref="F92">SUMPRODUCT(ISNUMBER(SEARCH(CommunalDict, D92))*1)</f>
        <v>0</v>
      </c>
      <c r="G92">
        <f t="array" ref="G92">SUMPRODUCT(ISNUMBER(SEARCH(NeutralDict, D92))*1)</f>
        <v>14</v>
      </c>
      <c r="H92">
        <f t="shared" si="7"/>
        <v>0</v>
      </c>
      <c r="I92">
        <f t="shared" si="8"/>
        <v>150</v>
      </c>
      <c r="J92">
        <f>SUM( I92 / VLOOKUP(A92, BaseUP!A:H, 8, FALSE)*100)</f>
        <v>102.73972602739727</v>
      </c>
      <c r="K92">
        <f t="shared" si="9"/>
        <v>8</v>
      </c>
      <c r="L92" t="s">
        <v>679</v>
      </c>
      <c r="M92" t="str">
        <f t="shared" si="10"/>
        <v>Pass</v>
      </c>
    </row>
    <row r="93" spans="1:13" ht="342" x14ac:dyDescent="0.25">
      <c r="A93">
        <v>46</v>
      </c>
      <c r="B93" t="s">
        <v>69</v>
      </c>
      <c r="C93" t="s">
        <v>13</v>
      </c>
      <c r="D93" s="1" t="s">
        <v>1093</v>
      </c>
      <c r="E93">
        <f t="array" ref="E93">SUMPRODUCT(ISNUMBER(SEARCH(AgenticDict, D93))*1)</f>
        <v>1</v>
      </c>
      <c r="F93">
        <f t="array" ref="F93">SUMPRODUCT(ISNUMBER(SEARCH(CommunalDict, D93))*1)</f>
        <v>9</v>
      </c>
      <c r="G93">
        <f t="array" ref="G93">SUMPRODUCT(ISNUMBER(SEARCH(NeutralDict, D93))*1)</f>
        <v>14</v>
      </c>
      <c r="H93">
        <f t="shared" si="7"/>
        <v>0</v>
      </c>
      <c r="I93">
        <f t="shared" si="8"/>
        <v>149</v>
      </c>
      <c r="J93">
        <f>SUM( I93 / VLOOKUP(A93, BaseUP!A:H, 8, FALSE)*100)</f>
        <v>102.05479452054796</v>
      </c>
      <c r="K93">
        <f t="shared" si="9"/>
        <v>6.0402684563758395</v>
      </c>
      <c r="L93" t="s">
        <v>679</v>
      </c>
      <c r="M93" t="str">
        <f t="shared" si="10"/>
        <v>Pass</v>
      </c>
    </row>
    <row r="94" spans="1:13" ht="342" x14ac:dyDescent="0.25">
      <c r="A94">
        <v>47</v>
      </c>
      <c r="B94" t="s">
        <v>69</v>
      </c>
      <c r="C94" t="s">
        <v>11</v>
      </c>
      <c r="D94" s="1" t="s">
        <v>1179</v>
      </c>
      <c r="E94">
        <f t="array" ref="E94">SUMPRODUCT(ISNUMBER(SEARCH(AgenticDict, D94))*1)</f>
        <v>10</v>
      </c>
      <c r="F94">
        <f t="array" ref="F94">SUMPRODUCT(ISNUMBER(SEARCH(CommunalDict, D94))*1)</f>
        <v>0</v>
      </c>
      <c r="G94">
        <f t="array" ref="G94">SUMPRODUCT(ISNUMBER(SEARCH(NeutralDict, D94))*1)</f>
        <v>16</v>
      </c>
      <c r="H94">
        <f t="shared" si="7"/>
        <v>0</v>
      </c>
      <c r="I94">
        <f t="shared" si="8"/>
        <v>142</v>
      </c>
      <c r="J94">
        <f>SUM( I94 / VLOOKUP(A94, BaseUP!A:H, 8, FALSE)*100)</f>
        <v>100.70921985815602</v>
      </c>
      <c r="K94">
        <f t="shared" si="9"/>
        <v>7.042253521126761</v>
      </c>
      <c r="L94" t="s">
        <v>679</v>
      </c>
      <c r="M94" t="str">
        <f t="shared" si="10"/>
        <v>Pass</v>
      </c>
    </row>
    <row r="95" spans="1:13" ht="342" x14ac:dyDescent="0.25">
      <c r="A95">
        <v>47</v>
      </c>
      <c r="B95" t="s">
        <v>69</v>
      </c>
      <c r="C95" t="s">
        <v>13</v>
      </c>
      <c r="D95" s="1" t="s">
        <v>1180</v>
      </c>
      <c r="E95">
        <f t="array" ref="E95">SUMPRODUCT(ISNUMBER(SEARCH(AgenticDict, D95))*1)</f>
        <v>1</v>
      </c>
      <c r="F95">
        <f t="array" ref="F95">SUMPRODUCT(ISNUMBER(SEARCH(CommunalDict, D95))*1)</f>
        <v>10</v>
      </c>
      <c r="G95">
        <f t="array" ref="G95">SUMPRODUCT(ISNUMBER(SEARCH(NeutralDict, D95))*1)</f>
        <v>18</v>
      </c>
      <c r="H95">
        <f t="shared" si="7"/>
        <v>0</v>
      </c>
      <c r="I95">
        <f t="shared" si="8"/>
        <v>148</v>
      </c>
      <c r="J95">
        <f>SUM( I95 / VLOOKUP(A95, BaseUP!A:H, 8, FALSE)*100)</f>
        <v>104.9645390070922</v>
      </c>
      <c r="K95">
        <f t="shared" si="9"/>
        <v>6.756756756756757</v>
      </c>
      <c r="L95" t="s">
        <v>679</v>
      </c>
      <c r="M95" t="str">
        <f t="shared" si="10"/>
        <v>Pass</v>
      </c>
    </row>
    <row r="96" spans="1:13" ht="360" x14ac:dyDescent="0.25">
      <c r="A96">
        <v>48</v>
      </c>
      <c r="B96" t="s">
        <v>69</v>
      </c>
      <c r="C96" t="s">
        <v>11</v>
      </c>
      <c r="D96" s="1" t="s">
        <v>1181</v>
      </c>
      <c r="E96">
        <f t="array" ref="E96">SUMPRODUCT(ISNUMBER(SEARCH(AgenticDict, D96))*1)</f>
        <v>9</v>
      </c>
      <c r="F96">
        <f t="array" ref="F96">SUMPRODUCT(ISNUMBER(SEARCH(CommunalDict, D96))*1)</f>
        <v>0</v>
      </c>
      <c r="G96">
        <f t="array" ref="G96">SUMPRODUCT(ISNUMBER(SEARCH(NeutralDict, D96))*1)</f>
        <v>17</v>
      </c>
      <c r="H96">
        <f t="shared" si="7"/>
        <v>0</v>
      </c>
      <c r="I96">
        <f t="shared" si="8"/>
        <v>150</v>
      </c>
      <c r="J96">
        <f>SUM( I96 / VLOOKUP(A96, BaseUP!A:H, 8, FALSE)*100)</f>
        <v>100.67114093959732</v>
      </c>
      <c r="K96">
        <f t="shared" si="9"/>
        <v>6</v>
      </c>
      <c r="L96" t="s">
        <v>679</v>
      </c>
      <c r="M96" t="str">
        <f t="shared" si="10"/>
        <v>Pass</v>
      </c>
    </row>
    <row r="97" spans="1:13" ht="360" x14ac:dyDescent="0.25">
      <c r="A97">
        <v>48</v>
      </c>
      <c r="B97" t="s">
        <v>69</v>
      </c>
      <c r="C97" t="s">
        <v>13</v>
      </c>
      <c r="D97" s="1" t="s">
        <v>1182</v>
      </c>
      <c r="E97">
        <f t="array" ref="E97">SUMPRODUCT(ISNUMBER(SEARCH(AgenticDict, D97))*1)</f>
        <v>3</v>
      </c>
      <c r="F97">
        <f t="array" ref="F97">SUMPRODUCT(ISNUMBER(SEARCH(CommunalDict, D97))*1)</f>
        <v>14</v>
      </c>
      <c r="G97">
        <f t="array" ref="G97">SUMPRODUCT(ISNUMBER(SEARCH(NeutralDict, D97))*1)</f>
        <v>16</v>
      </c>
      <c r="H97">
        <f t="shared" si="7"/>
        <v>0</v>
      </c>
      <c r="I97">
        <f t="shared" si="8"/>
        <v>151</v>
      </c>
      <c r="J97">
        <f>SUM( I97 / VLOOKUP(A97, BaseUP!A:H, 8, FALSE)*100)</f>
        <v>101.34228187919463</v>
      </c>
      <c r="K97">
        <f t="shared" si="9"/>
        <v>9.2715231788079464</v>
      </c>
      <c r="L97" t="s">
        <v>679</v>
      </c>
      <c r="M97" t="str">
        <f t="shared" si="10"/>
        <v>Pass</v>
      </c>
    </row>
    <row r="98" spans="1:13" ht="342" x14ac:dyDescent="0.25">
      <c r="A98">
        <v>49</v>
      </c>
      <c r="B98" t="s">
        <v>69</v>
      </c>
      <c r="C98" t="s">
        <v>11</v>
      </c>
      <c r="D98" s="1" t="s">
        <v>1183</v>
      </c>
      <c r="E98">
        <f t="array" ref="E98">SUMPRODUCT(ISNUMBER(SEARCH(AgenticDict, D98))*1)</f>
        <v>11</v>
      </c>
      <c r="F98">
        <f t="array" ref="F98">SUMPRODUCT(ISNUMBER(SEARCH(CommunalDict, D98))*1)</f>
        <v>0</v>
      </c>
      <c r="G98">
        <f t="array" ref="G98">SUMPRODUCT(ISNUMBER(SEARCH(NeutralDict, D98))*1)</f>
        <v>17</v>
      </c>
      <c r="H98">
        <f t="shared" si="7"/>
        <v>0</v>
      </c>
      <c r="I98">
        <f t="shared" si="8"/>
        <v>133</v>
      </c>
      <c r="J98">
        <f>SUM( I98 / VLOOKUP(A98, BaseUP!A:H, 8, FALSE)*100)</f>
        <v>99.253731343283576</v>
      </c>
      <c r="K98">
        <f t="shared" si="9"/>
        <v>8.2706766917293226</v>
      </c>
      <c r="L98" t="s">
        <v>679</v>
      </c>
      <c r="M98" t="str">
        <f t="shared" si="10"/>
        <v>Pass</v>
      </c>
    </row>
    <row r="99" spans="1:13" ht="324" x14ac:dyDescent="0.25">
      <c r="A99">
        <v>49</v>
      </c>
      <c r="B99" t="s">
        <v>69</v>
      </c>
      <c r="C99" t="s">
        <v>13</v>
      </c>
      <c r="D99" s="1" t="s">
        <v>1184</v>
      </c>
      <c r="E99">
        <f t="array" ref="E99">SUMPRODUCT(ISNUMBER(SEARCH(AgenticDict, D99))*1)</f>
        <v>2</v>
      </c>
      <c r="F99">
        <f t="array" ref="F99">SUMPRODUCT(ISNUMBER(SEARCH(CommunalDict, D99))*1)</f>
        <v>14</v>
      </c>
      <c r="G99">
        <f t="array" ref="G99">SUMPRODUCT(ISNUMBER(SEARCH(NeutralDict, D99))*1)</f>
        <v>17</v>
      </c>
      <c r="H99">
        <f t="shared" si="7"/>
        <v>0</v>
      </c>
      <c r="I99">
        <f t="shared" si="8"/>
        <v>138</v>
      </c>
      <c r="J99">
        <f>SUM( I99 / VLOOKUP(A99, BaseUP!A:H, 8, FALSE)*100)</f>
        <v>102.98507462686568</v>
      </c>
      <c r="K99">
        <f t="shared" si="9"/>
        <v>10.144927536231885</v>
      </c>
      <c r="L99" t="s">
        <v>679</v>
      </c>
      <c r="M99" t="str">
        <f t="shared" si="10"/>
        <v>Pass</v>
      </c>
    </row>
    <row r="100" spans="1:13" ht="360" x14ac:dyDescent="0.25">
      <c r="A100">
        <v>50</v>
      </c>
      <c r="B100" t="s">
        <v>69</v>
      </c>
      <c r="C100" t="s">
        <v>11</v>
      </c>
      <c r="D100" s="1" t="s">
        <v>1185</v>
      </c>
      <c r="E100">
        <f t="array" ref="E100">SUMPRODUCT(ISNUMBER(SEARCH(AgenticDict, D100))*1)</f>
        <v>9</v>
      </c>
      <c r="F100">
        <f t="array" ref="F100">SUMPRODUCT(ISNUMBER(SEARCH(CommunalDict, D100))*1)</f>
        <v>1</v>
      </c>
      <c r="G100">
        <f t="array" ref="G100">SUMPRODUCT(ISNUMBER(SEARCH(NeutralDict, D100))*1)</f>
        <v>15</v>
      </c>
      <c r="H100">
        <f t="shared" si="7"/>
        <v>0</v>
      </c>
      <c r="I100">
        <f t="shared" si="8"/>
        <v>153</v>
      </c>
      <c r="J100">
        <f>SUM( I100 / VLOOKUP(A100, BaseUP!A:H, 8, FALSE)*100)</f>
        <v>99.350649350649363</v>
      </c>
      <c r="K100">
        <f t="shared" si="9"/>
        <v>5.8823529411764701</v>
      </c>
      <c r="L100" t="s">
        <v>679</v>
      </c>
      <c r="M100" t="str">
        <f t="shared" si="10"/>
        <v>Pass</v>
      </c>
    </row>
    <row r="101" spans="1:13" ht="360" x14ac:dyDescent="0.25">
      <c r="A101">
        <v>50</v>
      </c>
      <c r="B101" t="s">
        <v>69</v>
      </c>
      <c r="C101" t="s">
        <v>13</v>
      </c>
      <c r="D101" s="1" t="s">
        <v>1186</v>
      </c>
      <c r="E101">
        <f t="array" ref="E101">SUMPRODUCT(ISNUMBER(SEARCH(AgenticDict, D101))*1)</f>
        <v>2</v>
      </c>
      <c r="F101">
        <f t="array" ref="F101">SUMPRODUCT(ISNUMBER(SEARCH(CommunalDict, D101))*1)</f>
        <v>8</v>
      </c>
      <c r="G101">
        <f t="array" ref="G101">SUMPRODUCT(ISNUMBER(SEARCH(NeutralDict, D101))*1)</f>
        <v>15</v>
      </c>
      <c r="H101">
        <f t="shared" si="7"/>
        <v>0</v>
      </c>
      <c r="I101">
        <f t="shared" si="8"/>
        <v>153</v>
      </c>
      <c r="J101">
        <f>SUM( I101 / VLOOKUP(A101, BaseUP!A:H, 8, FALSE)*100)</f>
        <v>99.350649350649363</v>
      </c>
      <c r="K101">
        <f t="shared" si="9"/>
        <v>5.2287581699346406</v>
      </c>
      <c r="L101" t="s">
        <v>679</v>
      </c>
      <c r="M101" t="str">
        <f t="shared" si="10"/>
        <v>Pass</v>
      </c>
    </row>
    <row r="102" spans="1:13" ht="342" x14ac:dyDescent="0.25">
      <c r="A102">
        <v>51</v>
      </c>
      <c r="B102" t="s">
        <v>69</v>
      </c>
      <c r="C102" t="s">
        <v>11</v>
      </c>
      <c r="D102" s="1" t="s">
        <v>1187</v>
      </c>
      <c r="E102">
        <f t="array" ref="E102">SUMPRODUCT(ISNUMBER(SEARCH(AgenticDict, D102))*1)</f>
        <v>8</v>
      </c>
      <c r="F102">
        <f t="array" ref="F102">SUMPRODUCT(ISNUMBER(SEARCH(CommunalDict, D102))*1)</f>
        <v>0</v>
      </c>
      <c r="G102">
        <f t="array" ref="G102">SUMPRODUCT(ISNUMBER(SEARCH(NeutralDict, D102))*1)</f>
        <v>17</v>
      </c>
      <c r="H102">
        <f t="shared" si="7"/>
        <v>0</v>
      </c>
      <c r="I102">
        <f t="shared" si="8"/>
        <v>130</v>
      </c>
      <c r="J102">
        <f>SUM( I102 / VLOOKUP(A102, BaseUP!A:H, 8, FALSE)*100)</f>
        <v>102.36220472440945</v>
      </c>
      <c r="K102">
        <f t="shared" si="9"/>
        <v>6.1538461538461542</v>
      </c>
      <c r="L102" t="s">
        <v>679</v>
      </c>
      <c r="M102" t="str">
        <f t="shared" si="10"/>
        <v>Pass</v>
      </c>
    </row>
    <row r="103" spans="1:13" ht="324" x14ac:dyDescent="0.25">
      <c r="A103">
        <v>51</v>
      </c>
      <c r="B103" t="s">
        <v>69</v>
      </c>
      <c r="C103" t="s">
        <v>13</v>
      </c>
      <c r="D103" s="1" t="s">
        <v>1188</v>
      </c>
      <c r="E103">
        <f t="array" ref="E103">SUMPRODUCT(ISNUMBER(SEARCH(AgenticDict, D103))*1)</f>
        <v>3</v>
      </c>
      <c r="F103">
        <f t="array" ref="F103">SUMPRODUCT(ISNUMBER(SEARCH(CommunalDict, D103))*1)</f>
        <v>13</v>
      </c>
      <c r="G103">
        <f t="array" ref="G103">SUMPRODUCT(ISNUMBER(SEARCH(NeutralDict, D103))*1)</f>
        <v>14</v>
      </c>
      <c r="H103">
        <f t="shared" si="7"/>
        <v>0</v>
      </c>
      <c r="I103">
        <f t="shared" si="8"/>
        <v>128</v>
      </c>
      <c r="J103">
        <f>SUM( I103 / VLOOKUP(A103, BaseUP!A:H, 8, FALSE)*100)</f>
        <v>100.78740157480314</v>
      </c>
      <c r="K103">
        <f t="shared" si="9"/>
        <v>10.15625</v>
      </c>
      <c r="L103" t="s">
        <v>679</v>
      </c>
      <c r="M103" t="str">
        <f t="shared" si="10"/>
        <v>Pass</v>
      </c>
    </row>
    <row r="104" spans="1:13" ht="360" x14ac:dyDescent="0.25">
      <c r="A104">
        <v>52</v>
      </c>
      <c r="B104" t="s">
        <v>69</v>
      </c>
      <c r="C104" t="s">
        <v>11</v>
      </c>
      <c r="D104" s="1" t="s">
        <v>1189</v>
      </c>
      <c r="E104">
        <f t="array" ref="E104">SUMPRODUCT(ISNUMBER(SEARCH(AgenticDict, D104))*1)</f>
        <v>10</v>
      </c>
      <c r="F104">
        <f t="array" ref="F104">SUMPRODUCT(ISNUMBER(SEARCH(CommunalDict, D104))*1)</f>
        <v>0</v>
      </c>
      <c r="G104">
        <f t="array" ref="G104">SUMPRODUCT(ISNUMBER(SEARCH(NeutralDict, D104))*1)</f>
        <v>16</v>
      </c>
      <c r="H104">
        <f t="shared" si="7"/>
        <v>0</v>
      </c>
      <c r="I104">
        <f t="shared" si="8"/>
        <v>158</v>
      </c>
      <c r="J104">
        <f>SUM( I104 / VLOOKUP(A104, BaseUP!A:H, 8, FALSE)*100)</f>
        <v>102.59740259740259</v>
      </c>
      <c r="K104">
        <f t="shared" si="9"/>
        <v>6.3291139240506329</v>
      </c>
      <c r="L104" t="s">
        <v>679</v>
      </c>
      <c r="M104" t="str">
        <f t="shared" si="10"/>
        <v>Pass</v>
      </c>
    </row>
    <row r="105" spans="1:13" ht="378" x14ac:dyDescent="0.25">
      <c r="A105">
        <v>52</v>
      </c>
      <c r="B105" t="s">
        <v>69</v>
      </c>
      <c r="C105" t="s">
        <v>13</v>
      </c>
      <c r="D105" s="1" t="s">
        <v>1190</v>
      </c>
      <c r="E105">
        <f t="array" ref="E105">SUMPRODUCT(ISNUMBER(SEARCH(AgenticDict, D105))*1)</f>
        <v>1</v>
      </c>
      <c r="F105">
        <f t="array" ref="F105">SUMPRODUCT(ISNUMBER(SEARCH(CommunalDict, D105))*1)</f>
        <v>10</v>
      </c>
      <c r="G105">
        <f t="array" ref="G105">SUMPRODUCT(ISNUMBER(SEARCH(NeutralDict, D105))*1)</f>
        <v>16</v>
      </c>
      <c r="H105">
        <f t="shared" si="7"/>
        <v>0</v>
      </c>
      <c r="I105">
        <f t="shared" si="8"/>
        <v>165</v>
      </c>
      <c r="J105">
        <f>SUM( I105 / VLOOKUP(A105, BaseUP!A:H, 8, FALSE)*100)</f>
        <v>107.14285714285714</v>
      </c>
      <c r="K105">
        <f t="shared" si="9"/>
        <v>6.0606060606060606</v>
      </c>
      <c r="L105" t="s">
        <v>679</v>
      </c>
      <c r="M105" t="str">
        <f t="shared" si="10"/>
        <v>Pass</v>
      </c>
    </row>
    <row r="106" spans="1:13" ht="342" x14ac:dyDescent="0.25">
      <c r="A106">
        <v>53</v>
      </c>
      <c r="B106" t="s">
        <v>69</v>
      </c>
      <c r="C106" t="s">
        <v>11</v>
      </c>
      <c r="D106" s="1" t="s">
        <v>726</v>
      </c>
      <c r="E106">
        <f t="array" ref="E106">SUMPRODUCT(ISNUMBER(SEARCH(AgenticDict, D106))*1)</f>
        <v>11</v>
      </c>
      <c r="F106">
        <f t="array" ref="F106">SUMPRODUCT(ISNUMBER(SEARCH(CommunalDict, D106))*1)</f>
        <v>0</v>
      </c>
      <c r="G106">
        <f t="array" ref="G106">SUMPRODUCT(ISNUMBER(SEARCH(NeutralDict, D106))*1)</f>
        <v>16</v>
      </c>
      <c r="H106">
        <f t="shared" si="7"/>
        <v>0</v>
      </c>
      <c r="I106">
        <f t="shared" si="8"/>
        <v>145</v>
      </c>
      <c r="J106">
        <f>SUM( I106 / VLOOKUP(A106, BaseUP!A:H, 8, FALSE)*100)</f>
        <v>100.69444444444444</v>
      </c>
      <c r="K106">
        <f t="shared" si="9"/>
        <v>7.5862068965517242</v>
      </c>
      <c r="L106" t="s">
        <v>679</v>
      </c>
      <c r="M106" t="str">
        <f t="shared" si="10"/>
        <v>Pass</v>
      </c>
    </row>
    <row r="107" spans="1:13" ht="342" x14ac:dyDescent="0.25">
      <c r="A107">
        <v>53</v>
      </c>
      <c r="B107" t="s">
        <v>69</v>
      </c>
      <c r="C107" t="s">
        <v>13</v>
      </c>
      <c r="D107" s="1" t="s">
        <v>1081</v>
      </c>
      <c r="E107">
        <f t="array" ref="E107">SUMPRODUCT(ISNUMBER(SEARCH(AgenticDict, D107))*1)</f>
        <v>2</v>
      </c>
      <c r="F107">
        <f t="array" ref="F107">SUMPRODUCT(ISNUMBER(SEARCH(CommunalDict, D107))*1)</f>
        <v>10</v>
      </c>
      <c r="G107">
        <f t="array" ref="G107">SUMPRODUCT(ISNUMBER(SEARCH(NeutralDict, D107))*1)</f>
        <v>16</v>
      </c>
      <c r="H107">
        <f t="shared" si="7"/>
        <v>0</v>
      </c>
      <c r="I107">
        <f t="shared" si="8"/>
        <v>145</v>
      </c>
      <c r="J107">
        <f>SUM( I107 / VLOOKUP(A107, BaseUP!A:H, 8, FALSE)*100)</f>
        <v>100.69444444444444</v>
      </c>
      <c r="K107">
        <f t="shared" si="9"/>
        <v>6.8965517241379306</v>
      </c>
      <c r="L107" t="s">
        <v>679</v>
      </c>
      <c r="M107" t="str">
        <f t="shared" si="10"/>
        <v>Pass</v>
      </c>
    </row>
    <row r="108" spans="1:13" ht="342" x14ac:dyDescent="0.25">
      <c r="A108">
        <v>54</v>
      </c>
      <c r="B108" t="s">
        <v>69</v>
      </c>
      <c r="C108" t="s">
        <v>11</v>
      </c>
      <c r="D108" s="1" t="s">
        <v>1226</v>
      </c>
      <c r="E108">
        <f t="array" ref="E108">SUMPRODUCT(ISNUMBER(SEARCH(AgenticDict, D108))*1)</f>
        <v>8</v>
      </c>
      <c r="F108">
        <f t="array" ref="F108">SUMPRODUCT(ISNUMBER(SEARCH(CommunalDict, D108))*1)</f>
        <v>0</v>
      </c>
      <c r="G108">
        <f t="array" ref="G108">SUMPRODUCT(ISNUMBER(SEARCH(NeutralDict, D108))*1)</f>
        <v>11</v>
      </c>
      <c r="H108">
        <f t="shared" si="7"/>
        <v>0</v>
      </c>
      <c r="I108">
        <f t="shared" si="8"/>
        <v>139</v>
      </c>
      <c r="J108">
        <f>SUM( I108 / VLOOKUP(A108, BaseUP!A:H, 8, FALSE)*100)</f>
        <v>101.45985401459853</v>
      </c>
      <c r="K108">
        <f t="shared" si="9"/>
        <v>5.755395683453238</v>
      </c>
      <c r="L108" t="s">
        <v>679</v>
      </c>
      <c r="M108" t="str">
        <f t="shared" si="10"/>
        <v>Pass</v>
      </c>
    </row>
    <row r="109" spans="1:13" ht="342" x14ac:dyDescent="0.25">
      <c r="A109">
        <v>54</v>
      </c>
      <c r="B109" t="s">
        <v>69</v>
      </c>
      <c r="C109" t="s">
        <v>13</v>
      </c>
      <c r="D109" s="1" t="s">
        <v>1227</v>
      </c>
      <c r="E109">
        <f t="array" ref="E109">SUMPRODUCT(ISNUMBER(SEARCH(AgenticDict, D109))*1)</f>
        <v>1</v>
      </c>
      <c r="F109">
        <f t="array" ref="F109">SUMPRODUCT(ISNUMBER(SEARCH(CommunalDict, D109))*1)</f>
        <v>8</v>
      </c>
      <c r="G109">
        <f t="array" ref="G109">SUMPRODUCT(ISNUMBER(SEARCH(NeutralDict, D109))*1)</f>
        <v>13</v>
      </c>
      <c r="H109">
        <f t="shared" si="7"/>
        <v>0</v>
      </c>
      <c r="I109">
        <f t="shared" si="8"/>
        <v>143</v>
      </c>
      <c r="J109">
        <f>SUM( I109 / VLOOKUP(A109, BaseUP!A:H, 8, FALSE)*100)</f>
        <v>104.37956204379562</v>
      </c>
      <c r="K109">
        <f t="shared" si="9"/>
        <v>5.5944055944055942</v>
      </c>
      <c r="L109" t="s">
        <v>679</v>
      </c>
      <c r="M109" t="str">
        <f t="shared" si="10"/>
        <v>Pass</v>
      </c>
    </row>
    <row r="110" spans="1:13" ht="342" x14ac:dyDescent="0.25">
      <c r="A110">
        <v>55</v>
      </c>
      <c r="B110" t="s">
        <v>69</v>
      </c>
      <c r="C110" t="s">
        <v>11</v>
      </c>
      <c r="D110" s="1" t="s">
        <v>1191</v>
      </c>
      <c r="E110">
        <f t="array" ref="E110">SUMPRODUCT(ISNUMBER(SEARCH(AgenticDict, D110))*1)</f>
        <v>11</v>
      </c>
      <c r="F110">
        <f t="array" ref="F110">SUMPRODUCT(ISNUMBER(SEARCH(CommunalDict, D110))*1)</f>
        <v>0</v>
      </c>
      <c r="G110">
        <f t="array" ref="G110">SUMPRODUCT(ISNUMBER(SEARCH(NeutralDict, D110))*1)</f>
        <v>13</v>
      </c>
      <c r="H110">
        <f t="shared" si="7"/>
        <v>0</v>
      </c>
      <c r="I110">
        <f t="shared" si="8"/>
        <v>131</v>
      </c>
      <c r="J110">
        <f>SUM( I110 / VLOOKUP(A110, BaseUP!A:H, 8, FALSE)*100)</f>
        <v>98.496240601503757</v>
      </c>
      <c r="K110">
        <f t="shared" si="9"/>
        <v>8.3969465648854964</v>
      </c>
      <c r="L110" t="s">
        <v>679</v>
      </c>
      <c r="M110" t="str">
        <f t="shared" si="10"/>
        <v>Pass</v>
      </c>
    </row>
    <row r="111" spans="1:13" ht="342" x14ac:dyDescent="0.25">
      <c r="A111">
        <v>55</v>
      </c>
      <c r="B111" t="s">
        <v>69</v>
      </c>
      <c r="C111" t="s">
        <v>13</v>
      </c>
      <c r="D111" s="1" t="s">
        <v>1192</v>
      </c>
      <c r="E111">
        <f t="array" ref="E111">SUMPRODUCT(ISNUMBER(SEARCH(AgenticDict, D111))*1)</f>
        <v>1</v>
      </c>
      <c r="F111">
        <f t="array" ref="F111">SUMPRODUCT(ISNUMBER(SEARCH(CommunalDict, D111))*1)</f>
        <v>11</v>
      </c>
      <c r="G111">
        <f t="array" ref="G111">SUMPRODUCT(ISNUMBER(SEARCH(NeutralDict, D111))*1)</f>
        <v>14</v>
      </c>
      <c r="H111">
        <f t="shared" si="7"/>
        <v>0</v>
      </c>
      <c r="I111">
        <f t="shared" si="8"/>
        <v>140</v>
      </c>
      <c r="J111">
        <f>SUM( I111 / VLOOKUP(A111, BaseUP!A:H, 8, FALSE)*100)</f>
        <v>105.26315789473684</v>
      </c>
      <c r="K111">
        <f t="shared" si="9"/>
        <v>7.8571428571428568</v>
      </c>
      <c r="L111" t="s">
        <v>679</v>
      </c>
      <c r="M111" t="str">
        <f t="shared" si="10"/>
        <v>Pass</v>
      </c>
    </row>
    <row r="112" spans="1:13" ht="324" x14ac:dyDescent="0.25">
      <c r="A112">
        <v>56</v>
      </c>
      <c r="B112" t="s">
        <v>69</v>
      </c>
      <c r="C112" t="s">
        <v>11</v>
      </c>
      <c r="D112" s="1" t="s">
        <v>697</v>
      </c>
      <c r="E112">
        <f t="array" ref="E112">SUMPRODUCT(ISNUMBER(SEARCH(AgenticDict, D112))*1)</f>
        <v>11</v>
      </c>
      <c r="F112">
        <f t="array" ref="F112">SUMPRODUCT(ISNUMBER(SEARCH(CommunalDict, D112))*1)</f>
        <v>0</v>
      </c>
      <c r="G112">
        <f t="array" ref="G112">SUMPRODUCT(ISNUMBER(SEARCH(NeutralDict, D112))*1)</f>
        <v>10</v>
      </c>
      <c r="H112">
        <f t="shared" si="7"/>
        <v>0</v>
      </c>
      <c r="I112">
        <f t="shared" si="8"/>
        <v>140</v>
      </c>
      <c r="J112">
        <f>SUM( I112 / VLOOKUP(A112, BaseUP!A:H, 8, FALSE)*100)</f>
        <v>101.44927536231884</v>
      </c>
      <c r="K112">
        <f t="shared" si="9"/>
        <v>7.8571428571428568</v>
      </c>
      <c r="L112" t="s">
        <v>679</v>
      </c>
      <c r="M112" t="str">
        <f t="shared" si="10"/>
        <v>Pass</v>
      </c>
    </row>
    <row r="113" spans="1:13" ht="324" x14ac:dyDescent="0.25">
      <c r="A113">
        <v>56</v>
      </c>
      <c r="B113" t="s">
        <v>69</v>
      </c>
      <c r="C113" t="s">
        <v>13</v>
      </c>
      <c r="D113" s="1" t="s">
        <v>696</v>
      </c>
      <c r="E113">
        <f t="array" ref="E113">SUMPRODUCT(ISNUMBER(SEARCH(AgenticDict, D113))*1)</f>
        <v>1</v>
      </c>
      <c r="F113">
        <f t="array" ref="F113">SUMPRODUCT(ISNUMBER(SEARCH(CommunalDict, D113))*1)</f>
        <v>11</v>
      </c>
      <c r="G113">
        <f t="array" ref="G113">SUMPRODUCT(ISNUMBER(SEARCH(NeutralDict, D113))*1)</f>
        <v>11</v>
      </c>
      <c r="H113">
        <f t="shared" si="7"/>
        <v>0</v>
      </c>
      <c r="I113">
        <f t="shared" si="8"/>
        <v>142</v>
      </c>
      <c r="J113">
        <f>SUM( I113 / VLOOKUP(A113, BaseUP!A:H, 8, FALSE)*100)</f>
        <v>102.89855072463767</v>
      </c>
      <c r="K113">
        <f t="shared" si="9"/>
        <v>7.7464788732394361</v>
      </c>
      <c r="L113" t="s">
        <v>679</v>
      </c>
      <c r="M113" t="str">
        <f t="shared" si="10"/>
        <v>Pass</v>
      </c>
    </row>
    <row r="114" spans="1:13" ht="324" x14ac:dyDescent="0.25">
      <c r="A114">
        <v>57</v>
      </c>
      <c r="B114" t="s">
        <v>69</v>
      </c>
      <c r="C114" t="s">
        <v>11</v>
      </c>
      <c r="D114" s="1" t="s">
        <v>1193</v>
      </c>
      <c r="E114">
        <f t="array" ref="E114">SUMPRODUCT(ISNUMBER(SEARCH(AgenticDict, D114))*1)</f>
        <v>9</v>
      </c>
      <c r="F114">
        <f t="array" ref="F114">SUMPRODUCT(ISNUMBER(SEARCH(CommunalDict, D114))*1)</f>
        <v>0</v>
      </c>
      <c r="G114">
        <f t="array" ref="G114">SUMPRODUCT(ISNUMBER(SEARCH(NeutralDict, D114))*1)</f>
        <v>12</v>
      </c>
      <c r="H114">
        <f t="shared" si="7"/>
        <v>0</v>
      </c>
      <c r="I114">
        <f t="shared" si="8"/>
        <v>129</v>
      </c>
      <c r="J114">
        <f>SUM( I114 / VLOOKUP(A114, BaseUP!A:H, 8, FALSE)*100)</f>
        <v>103.2</v>
      </c>
      <c r="K114">
        <f t="shared" si="9"/>
        <v>6.9767441860465116</v>
      </c>
      <c r="L114" t="s">
        <v>679</v>
      </c>
      <c r="M114" t="str">
        <f t="shared" si="10"/>
        <v>Pass</v>
      </c>
    </row>
    <row r="115" spans="1:13" ht="324" x14ac:dyDescent="0.25">
      <c r="A115">
        <v>57</v>
      </c>
      <c r="B115" t="s">
        <v>69</v>
      </c>
      <c r="C115" t="s">
        <v>13</v>
      </c>
      <c r="D115" s="1" t="s">
        <v>1194</v>
      </c>
      <c r="E115">
        <f t="array" ref="E115">SUMPRODUCT(ISNUMBER(SEARCH(AgenticDict, D115))*1)</f>
        <v>2</v>
      </c>
      <c r="F115">
        <f t="array" ref="F115">SUMPRODUCT(ISNUMBER(SEARCH(CommunalDict, D115))*1)</f>
        <v>10</v>
      </c>
      <c r="G115">
        <f t="array" ref="G115">SUMPRODUCT(ISNUMBER(SEARCH(NeutralDict, D115))*1)</f>
        <v>12</v>
      </c>
      <c r="H115">
        <f t="shared" si="7"/>
        <v>0</v>
      </c>
      <c r="I115">
        <f t="shared" si="8"/>
        <v>128</v>
      </c>
      <c r="J115">
        <f>SUM( I115 / VLOOKUP(A115, BaseUP!A:H, 8, FALSE)*100)</f>
        <v>102.4</v>
      </c>
      <c r="K115">
        <f t="shared" si="9"/>
        <v>7.8125</v>
      </c>
      <c r="L115" t="s">
        <v>679</v>
      </c>
      <c r="M115" t="str">
        <f t="shared" si="10"/>
        <v>Pass</v>
      </c>
    </row>
    <row r="116" spans="1:13" ht="342" x14ac:dyDescent="0.25">
      <c r="A116">
        <v>58</v>
      </c>
      <c r="B116" t="s">
        <v>69</v>
      </c>
      <c r="C116" t="s">
        <v>11</v>
      </c>
      <c r="D116" s="1" t="s">
        <v>1195</v>
      </c>
      <c r="E116">
        <f t="array" ref="E116">SUMPRODUCT(ISNUMBER(SEARCH(AgenticDict, D116))*1)</f>
        <v>9</v>
      </c>
      <c r="F116">
        <f t="array" ref="F116">SUMPRODUCT(ISNUMBER(SEARCH(CommunalDict, D116))*1)</f>
        <v>0</v>
      </c>
      <c r="G116">
        <f t="array" ref="G116">SUMPRODUCT(ISNUMBER(SEARCH(NeutralDict, D116))*1)</f>
        <v>13</v>
      </c>
      <c r="H116">
        <f t="shared" si="7"/>
        <v>0</v>
      </c>
      <c r="I116">
        <f t="shared" si="8"/>
        <v>146</v>
      </c>
      <c r="J116">
        <f>SUM( I116 / VLOOKUP(A116, BaseUP!A:H, 8, FALSE)*100)</f>
        <v>102.09790209790211</v>
      </c>
      <c r="K116">
        <f t="shared" si="9"/>
        <v>6.1643835616438354</v>
      </c>
      <c r="L116" t="s">
        <v>679</v>
      </c>
      <c r="M116" t="str">
        <f t="shared" si="10"/>
        <v>Pass</v>
      </c>
    </row>
    <row r="117" spans="1:13" ht="342" x14ac:dyDescent="0.25">
      <c r="A117">
        <v>58</v>
      </c>
      <c r="B117" t="s">
        <v>69</v>
      </c>
      <c r="C117" t="s">
        <v>13</v>
      </c>
      <c r="D117" s="1" t="s">
        <v>1196</v>
      </c>
      <c r="E117">
        <f t="array" ref="E117">SUMPRODUCT(ISNUMBER(SEARCH(AgenticDict, D117))*1)</f>
        <v>2</v>
      </c>
      <c r="F117">
        <f t="array" ref="F117">SUMPRODUCT(ISNUMBER(SEARCH(CommunalDict, D117))*1)</f>
        <v>14</v>
      </c>
      <c r="G117">
        <f t="array" ref="G117">SUMPRODUCT(ISNUMBER(SEARCH(NeutralDict, D117))*1)</f>
        <v>12</v>
      </c>
      <c r="H117">
        <f t="shared" si="7"/>
        <v>0</v>
      </c>
      <c r="I117">
        <f t="shared" si="8"/>
        <v>144</v>
      </c>
      <c r="J117">
        <f>SUM( I117 / VLOOKUP(A117, BaseUP!A:H, 8, FALSE)*100)</f>
        <v>100.69930069930071</v>
      </c>
      <c r="K117">
        <f t="shared" si="9"/>
        <v>9.7222222222222232</v>
      </c>
      <c r="L117" t="s">
        <v>679</v>
      </c>
      <c r="M117" t="str">
        <f t="shared" si="10"/>
        <v>Pass</v>
      </c>
    </row>
    <row r="118" spans="1:13" ht="342" x14ac:dyDescent="0.25">
      <c r="A118">
        <v>59</v>
      </c>
      <c r="B118" t="s">
        <v>69</v>
      </c>
      <c r="C118" t="s">
        <v>11</v>
      </c>
      <c r="D118" s="1" t="s">
        <v>729</v>
      </c>
      <c r="E118">
        <f t="array" ref="E118">SUMPRODUCT(ISNUMBER(SEARCH(AgenticDict, D118))*1)</f>
        <v>8</v>
      </c>
      <c r="F118">
        <f t="array" ref="F118">SUMPRODUCT(ISNUMBER(SEARCH(CommunalDict, D118))*1)</f>
        <v>0</v>
      </c>
      <c r="G118">
        <f t="array" ref="G118">SUMPRODUCT(ISNUMBER(SEARCH(NeutralDict, D118))*1)</f>
        <v>18</v>
      </c>
      <c r="H118">
        <f t="shared" si="7"/>
        <v>0</v>
      </c>
      <c r="I118">
        <f t="shared" si="8"/>
        <v>140</v>
      </c>
      <c r="J118">
        <f>SUM( I118 / VLOOKUP(A118, BaseUP!A:H, 8, FALSE)*100)</f>
        <v>99.290780141843967</v>
      </c>
      <c r="K118">
        <f t="shared" si="9"/>
        <v>5.7142857142857144</v>
      </c>
      <c r="L118" t="s">
        <v>679</v>
      </c>
      <c r="M118" t="str">
        <f t="shared" si="10"/>
        <v>Pass</v>
      </c>
    </row>
    <row r="119" spans="1:13" ht="342" x14ac:dyDescent="0.25">
      <c r="A119">
        <v>59</v>
      </c>
      <c r="B119" t="s">
        <v>69</v>
      </c>
      <c r="C119" t="s">
        <v>13</v>
      </c>
      <c r="D119" s="1" t="s">
        <v>531</v>
      </c>
      <c r="E119">
        <f t="array" ref="E119">SUMPRODUCT(ISNUMBER(SEARCH(AgenticDict, D119))*1)</f>
        <v>1</v>
      </c>
      <c r="F119">
        <f t="array" ref="F119">SUMPRODUCT(ISNUMBER(SEARCH(CommunalDict, D119))*1)</f>
        <v>8</v>
      </c>
      <c r="G119">
        <f t="array" ref="G119">SUMPRODUCT(ISNUMBER(SEARCH(NeutralDict, D119))*1)</f>
        <v>18</v>
      </c>
      <c r="H119">
        <f t="shared" si="7"/>
        <v>0</v>
      </c>
      <c r="I119">
        <f t="shared" si="8"/>
        <v>143</v>
      </c>
      <c r="J119">
        <f>SUM( I119 / VLOOKUP(A119, BaseUP!A:H, 8, FALSE)*100)</f>
        <v>101.41843971631207</v>
      </c>
      <c r="K119">
        <f t="shared" si="9"/>
        <v>5.5944055944055942</v>
      </c>
      <c r="L119" t="s">
        <v>679</v>
      </c>
      <c r="M119" t="str">
        <f t="shared" si="10"/>
        <v>Pass</v>
      </c>
    </row>
    <row r="120" spans="1:13" ht="342" x14ac:dyDescent="0.25">
      <c r="A120">
        <v>60</v>
      </c>
      <c r="B120" t="s">
        <v>69</v>
      </c>
      <c r="C120" t="s">
        <v>11</v>
      </c>
      <c r="D120" s="1" t="s">
        <v>120</v>
      </c>
      <c r="E120">
        <f t="array" ref="E120">SUMPRODUCT(ISNUMBER(SEARCH(AgenticDict, D120))*1)</f>
        <v>9</v>
      </c>
      <c r="F120">
        <f t="array" ref="F120">SUMPRODUCT(ISNUMBER(SEARCH(CommunalDict, D120))*1)</f>
        <v>0</v>
      </c>
      <c r="G120">
        <f t="array" ref="G120">SUMPRODUCT(ISNUMBER(SEARCH(NeutralDict, D120))*1)</f>
        <v>15</v>
      </c>
      <c r="H120">
        <f t="shared" si="7"/>
        <v>0</v>
      </c>
      <c r="I120">
        <f t="shared" si="8"/>
        <v>147</v>
      </c>
      <c r="J120">
        <f>SUM( I120 / VLOOKUP(A120, BaseUP!A:H, 8, FALSE)*100)</f>
        <v>100.68493150684932</v>
      </c>
      <c r="K120">
        <f t="shared" si="9"/>
        <v>6.1224489795918364</v>
      </c>
      <c r="L120" t="s">
        <v>679</v>
      </c>
      <c r="M120" t="str">
        <f t="shared" si="10"/>
        <v>Pass</v>
      </c>
    </row>
    <row r="121" spans="1:13" ht="342" x14ac:dyDescent="0.25">
      <c r="A121">
        <v>60</v>
      </c>
      <c r="B121" t="s">
        <v>69</v>
      </c>
      <c r="C121" t="s">
        <v>13</v>
      </c>
      <c r="D121" s="1" t="s">
        <v>1082</v>
      </c>
      <c r="E121">
        <f t="array" ref="E121">SUMPRODUCT(ISNUMBER(SEARCH(AgenticDict, D121))*1)</f>
        <v>1</v>
      </c>
      <c r="F121">
        <f t="array" ref="F121">SUMPRODUCT(ISNUMBER(SEARCH(CommunalDict, D121))*1)</f>
        <v>8</v>
      </c>
      <c r="G121">
        <f t="array" ref="G121">SUMPRODUCT(ISNUMBER(SEARCH(NeutralDict, D121))*1)</f>
        <v>15</v>
      </c>
      <c r="H121">
        <f t="shared" si="7"/>
        <v>0</v>
      </c>
      <c r="I121">
        <f t="shared" si="8"/>
        <v>149</v>
      </c>
      <c r="J121">
        <f>SUM( I121 / VLOOKUP(A121, BaseUP!A:H, 8, FALSE)*100)</f>
        <v>102.05479452054796</v>
      </c>
      <c r="K121">
        <f t="shared" si="9"/>
        <v>5.3691275167785237</v>
      </c>
      <c r="L121" t="s">
        <v>679</v>
      </c>
      <c r="M121" t="str">
        <f t="shared" si="10"/>
        <v>Pass</v>
      </c>
    </row>
    <row r="122" spans="1:13" ht="324" x14ac:dyDescent="0.25">
      <c r="A122">
        <v>61</v>
      </c>
      <c r="B122" t="s">
        <v>69</v>
      </c>
      <c r="C122" t="s">
        <v>11</v>
      </c>
      <c r="D122" s="1" t="s">
        <v>1197</v>
      </c>
      <c r="E122">
        <f t="array" ref="E122">SUMPRODUCT(ISNUMBER(SEARCH(AgenticDict, D122))*1)</f>
        <v>8</v>
      </c>
      <c r="F122">
        <f t="array" ref="F122">SUMPRODUCT(ISNUMBER(SEARCH(CommunalDict, D122))*1)</f>
        <v>0</v>
      </c>
      <c r="G122">
        <f t="array" ref="G122">SUMPRODUCT(ISNUMBER(SEARCH(NeutralDict, D122))*1)</f>
        <v>13</v>
      </c>
      <c r="H122">
        <f t="shared" si="7"/>
        <v>0</v>
      </c>
      <c r="I122">
        <f t="shared" si="8"/>
        <v>137</v>
      </c>
      <c r="J122">
        <f>SUM( I122 / VLOOKUP(A122, BaseUP!A:H, 8, FALSE)*100)</f>
        <v>99.275362318840578</v>
      </c>
      <c r="K122">
        <f t="shared" si="9"/>
        <v>5.8394160583941606</v>
      </c>
      <c r="L122" t="s">
        <v>679</v>
      </c>
      <c r="M122" t="str">
        <f t="shared" si="10"/>
        <v>Pass</v>
      </c>
    </row>
    <row r="123" spans="1:13" ht="324" x14ac:dyDescent="0.25">
      <c r="A123">
        <v>61</v>
      </c>
      <c r="B123" t="s">
        <v>69</v>
      </c>
      <c r="C123" t="s">
        <v>13</v>
      </c>
      <c r="D123" s="1" t="s">
        <v>1198</v>
      </c>
      <c r="E123">
        <f t="array" ref="E123">SUMPRODUCT(ISNUMBER(SEARCH(AgenticDict, D123))*1)</f>
        <v>1</v>
      </c>
      <c r="F123">
        <f t="array" ref="F123">SUMPRODUCT(ISNUMBER(SEARCH(CommunalDict, D123))*1)</f>
        <v>13</v>
      </c>
      <c r="G123">
        <f t="array" ref="G123">SUMPRODUCT(ISNUMBER(SEARCH(NeutralDict, D123))*1)</f>
        <v>12</v>
      </c>
      <c r="H123">
        <f t="shared" si="7"/>
        <v>0</v>
      </c>
      <c r="I123">
        <f t="shared" si="8"/>
        <v>146</v>
      </c>
      <c r="J123">
        <f>SUM( I123 / VLOOKUP(A123, BaseUP!A:H, 8, FALSE)*100)</f>
        <v>105.79710144927536</v>
      </c>
      <c r="K123">
        <f t="shared" si="9"/>
        <v>8.9041095890410951</v>
      </c>
      <c r="L123" t="s">
        <v>679</v>
      </c>
      <c r="M123" t="str">
        <f t="shared" si="10"/>
        <v>Pass</v>
      </c>
    </row>
    <row r="124" spans="1:13" ht="360" x14ac:dyDescent="0.25">
      <c r="A124">
        <v>62</v>
      </c>
      <c r="B124" t="s">
        <v>69</v>
      </c>
      <c r="C124" t="s">
        <v>11</v>
      </c>
      <c r="D124" s="1" t="s">
        <v>1199</v>
      </c>
      <c r="E124">
        <f t="array" ref="E124">SUMPRODUCT(ISNUMBER(SEARCH(AgenticDict, D124))*1)</f>
        <v>11</v>
      </c>
      <c r="F124">
        <f t="array" ref="F124">SUMPRODUCT(ISNUMBER(SEARCH(CommunalDict, D124))*1)</f>
        <v>0</v>
      </c>
      <c r="G124">
        <f t="array" ref="G124">SUMPRODUCT(ISNUMBER(SEARCH(NeutralDict, D124))*1)</f>
        <v>16</v>
      </c>
      <c r="H124">
        <f t="shared" si="7"/>
        <v>0</v>
      </c>
      <c r="I124">
        <f t="shared" si="8"/>
        <v>158</v>
      </c>
      <c r="J124">
        <f>SUM( I124 / VLOOKUP(A124, BaseUP!A:H, 8, FALSE)*100)</f>
        <v>102.59740259740259</v>
      </c>
      <c r="K124">
        <f t="shared" si="9"/>
        <v>6.962025316455696</v>
      </c>
      <c r="L124" t="s">
        <v>679</v>
      </c>
      <c r="M124" t="str">
        <f t="shared" si="10"/>
        <v>Pass</v>
      </c>
    </row>
    <row r="125" spans="1:13" ht="360" x14ac:dyDescent="0.25">
      <c r="A125">
        <v>62</v>
      </c>
      <c r="B125" t="s">
        <v>69</v>
      </c>
      <c r="C125" t="s">
        <v>13</v>
      </c>
      <c r="D125" s="1" t="s">
        <v>1200</v>
      </c>
      <c r="E125">
        <f t="array" ref="E125">SUMPRODUCT(ISNUMBER(SEARCH(AgenticDict, D125))*1)</f>
        <v>0</v>
      </c>
      <c r="F125">
        <f t="array" ref="F125">SUMPRODUCT(ISNUMBER(SEARCH(CommunalDict, D125))*1)</f>
        <v>9</v>
      </c>
      <c r="G125">
        <f t="array" ref="G125">SUMPRODUCT(ISNUMBER(SEARCH(NeutralDict, D125))*1)</f>
        <v>17</v>
      </c>
      <c r="H125">
        <f t="shared" si="7"/>
        <v>0</v>
      </c>
      <c r="I125">
        <f t="shared" si="8"/>
        <v>158</v>
      </c>
      <c r="J125">
        <f>SUM( I125 / VLOOKUP(A125, BaseUP!A:H, 8, FALSE)*100)</f>
        <v>102.59740259740259</v>
      </c>
      <c r="K125">
        <f t="shared" si="9"/>
        <v>5.6962025316455698</v>
      </c>
      <c r="L125" t="s">
        <v>679</v>
      </c>
      <c r="M125" t="str">
        <f t="shared" si="10"/>
        <v>Pass</v>
      </c>
    </row>
    <row r="126" spans="1:13" ht="342" x14ac:dyDescent="0.25">
      <c r="A126">
        <v>63</v>
      </c>
      <c r="B126" t="s">
        <v>126</v>
      </c>
      <c r="C126" t="s">
        <v>11</v>
      </c>
      <c r="D126" s="1" t="s">
        <v>1206</v>
      </c>
      <c r="E126">
        <f t="array" ref="E126">SUMPRODUCT(ISNUMBER(SEARCH(AgenticDict, D126))*1)</f>
        <v>9</v>
      </c>
      <c r="F126">
        <f t="array" ref="F126">SUMPRODUCT(ISNUMBER(SEARCH(CommunalDict, D126))*1)</f>
        <v>0</v>
      </c>
      <c r="G126">
        <f t="array" ref="G126">SUMPRODUCT(ISNUMBER(SEARCH(NeutralDict, D126))*1)</f>
        <v>13</v>
      </c>
      <c r="H126">
        <f t="shared" si="7"/>
        <v>0</v>
      </c>
      <c r="I126">
        <f t="shared" si="8"/>
        <v>156</v>
      </c>
      <c r="J126">
        <f>SUM( I126 / VLOOKUP(A126, BaseUP!A:H, 8, FALSE)*100)</f>
        <v>101.29870129870129</v>
      </c>
      <c r="K126">
        <f t="shared" si="9"/>
        <v>5.7692307692307692</v>
      </c>
      <c r="L126" t="s">
        <v>679</v>
      </c>
      <c r="M126" t="str">
        <f t="shared" si="10"/>
        <v>Pass</v>
      </c>
    </row>
    <row r="127" spans="1:13" ht="360" x14ac:dyDescent="0.25">
      <c r="A127">
        <v>63</v>
      </c>
      <c r="B127" t="s">
        <v>126</v>
      </c>
      <c r="C127" t="s">
        <v>13</v>
      </c>
      <c r="D127" s="1" t="s">
        <v>1207</v>
      </c>
      <c r="E127">
        <f t="array" ref="E127">SUMPRODUCT(ISNUMBER(SEARCH(AgenticDict, D127))*1)</f>
        <v>0</v>
      </c>
      <c r="F127">
        <f t="array" ref="F127">SUMPRODUCT(ISNUMBER(SEARCH(CommunalDict, D127))*1)</f>
        <v>9</v>
      </c>
      <c r="G127">
        <f t="array" ref="G127">SUMPRODUCT(ISNUMBER(SEARCH(NeutralDict, D127))*1)</f>
        <v>14</v>
      </c>
      <c r="H127">
        <f t="shared" si="7"/>
        <v>0</v>
      </c>
      <c r="I127">
        <f t="shared" si="8"/>
        <v>165</v>
      </c>
      <c r="J127">
        <f>SUM( I127 / VLOOKUP(A127, BaseUP!A:H, 8, FALSE)*100)</f>
        <v>107.14285714285714</v>
      </c>
      <c r="K127">
        <f t="shared" si="9"/>
        <v>5.4545454545454541</v>
      </c>
      <c r="L127" t="s">
        <v>679</v>
      </c>
      <c r="M127" t="str">
        <f t="shared" si="10"/>
        <v>Pass</v>
      </c>
    </row>
    <row r="128" spans="1:13" ht="360" x14ac:dyDescent="0.25">
      <c r="A128">
        <v>64</v>
      </c>
      <c r="B128" t="s">
        <v>126</v>
      </c>
      <c r="C128" t="s">
        <v>11</v>
      </c>
      <c r="D128" s="1" t="s">
        <v>534</v>
      </c>
      <c r="E128">
        <f t="array" ref="E128">SUMPRODUCT(ISNUMBER(SEARCH(AgenticDict, D128))*1)</f>
        <v>10</v>
      </c>
      <c r="F128">
        <f t="array" ref="F128">SUMPRODUCT(ISNUMBER(SEARCH(CommunalDict, D128))*1)</f>
        <v>0</v>
      </c>
      <c r="G128">
        <f t="array" ref="G128">SUMPRODUCT(ISNUMBER(SEARCH(NeutralDict, D128))*1)</f>
        <v>12</v>
      </c>
      <c r="H128">
        <f t="shared" si="7"/>
        <v>0</v>
      </c>
      <c r="I128">
        <f t="shared" si="8"/>
        <v>152</v>
      </c>
      <c r="J128">
        <f>SUM( I128 / VLOOKUP(A128, BaseUP!A:H, 8, FALSE)*100)</f>
        <v>99.346405228758172</v>
      </c>
      <c r="K128">
        <f t="shared" si="9"/>
        <v>6.5789473684210522</v>
      </c>
      <c r="L128" t="s">
        <v>679</v>
      </c>
      <c r="M128" t="str">
        <f t="shared" si="10"/>
        <v>Pass</v>
      </c>
    </row>
    <row r="129" spans="1:13" ht="360" x14ac:dyDescent="0.25">
      <c r="A129">
        <v>64</v>
      </c>
      <c r="B129" t="s">
        <v>126</v>
      </c>
      <c r="C129" t="s">
        <v>13</v>
      </c>
      <c r="D129" s="1" t="s">
        <v>1085</v>
      </c>
      <c r="E129">
        <f t="array" ref="E129">SUMPRODUCT(ISNUMBER(SEARCH(AgenticDict, D129))*1)</f>
        <v>1</v>
      </c>
      <c r="F129">
        <f t="array" ref="F129">SUMPRODUCT(ISNUMBER(SEARCH(CommunalDict, D129))*1)</f>
        <v>8</v>
      </c>
      <c r="G129">
        <f t="array" ref="G129">SUMPRODUCT(ISNUMBER(SEARCH(NeutralDict, D129))*1)</f>
        <v>12</v>
      </c>
      <c r="H129">
        <f t="shared" si="7"/>
        <v>0</v>
      </c>
      <c r="I129">
        <f t="shared" si="8"/>
        <v>157</v>
      </c>
      <c r="J129">
        <f>SUM( I129 / VLOOKUP(A129, BaseUP!A:H, 8, FALSE)*100)</f>
        <v>102.61437908496731</v>
      </c>
      <c r="K129">
        <f t="shared" si="9"/>
        <v>5.095541401273886</v>
      </c>
      <c r="L129" t="s">
        <v>679</v>
      </c>
      <c r="M129" t="str">
        <f t="shared" si="10"/>
        <v>Pass</v>
      </c>
    </row>
    <row r="130" spans="1:13" ht="360" x14ac:dyDescent="0.25">
      <c r="A130">
        <v>65</v>
      </c>
      <c r="B130" t="s">
        <v>126</v>
      </c>
      <c r="C130" t="s">
        <v>11</v>
      </c>
      <c r="D130" s="1" t="s">
        <v>1208</v>
      </c>
      <c r="E130">
        <f t="array" ref="E130">SUMPRODUCT(ISNUMBER(SEARCH(AgenticDict, D130))*1)</f>
        <v>8</v>
      </c>
      <c r="F130">
        <f t="array" ref="F130">SUMPRODUCT(ISNUMBER(SEARCH(CommunalDict, D130))*1)</f>
        <v>0</v>
      </c>
      <c r="G130">
        <f t="array" ref="G130">SUMPRODUCT(ISNUMBER(SEARCH(NeutralDict, D130))*1)</f>
        <v>16</v>
      </c>
      <c r="H130">
        <f t="shared" si="7"/>
        <v>0</v>
      </c>
      <c r="I130">
        <f t="shared" si="8"/>
        <v>153</v>
      </c>
      <c r="J130">
        <f>SUM( I130 / VLOOKUP(A130, BaseUP!A:H, 8, FALSE)*100)</f>
        <v>102.68456375838926</v>
      </c>
      <c r="K130">
        <f t="shared" si="9"/>
        <v>5.2287581699346406</v>
      </c>
      <c r="L130" t="s">
        <v>679</v>
      </c>
      <c r="M130" t="str">
        <f t="shared" si="10"/>
        <v>Pass</v>
      </c>
    </row>
    <row r="131" spans="1:13" ht="360" x14ac:dyDescent="0.25">
      <c r="A131">
        <v>65</v>
      </c>
      <c r="B131" t="s">
        <v>126</v>
      </c>
      <c r="C131" t="s">
        <v>13</v>
      </c>
      <c r="D131" s="1" t="s">
        <v>1209</v>
      </c>
      <c r="E131">
        <f t="array" ref="E131">SUMPRODUCT(ISNUMBER(SEARCH(AgenticDict, D131))*1)</f>
        <v>4</v>
      </c>
      <c r="F131">
        <f t="array" ref="F131">SUMPRODUCT(ISNUMBER(SEARCH(CommunalDict, D131))*1)</f>
        <v>10</v>
      </c>
      <c r="G131">
        <f t="array" ref="G131">SUMPRODUCT(ISNUMBER(SEARCH(NeutralDict, D131))*1)</f>
        <v>16</v>
      </c>
      <c r="H131">
        <f t="shared" ref="H131:H181" si="11">SUMPRODUCT(ISNUMBER(SEARCH(NegativeDict, D131))*1)</f>
        <v>0</v>
      </c>
      <c r="I131">
        <f t="shared" ref="I131:I181" si="12">IF(LEN(TRIM(D131))=0,0,LEN(TRIM(D131))-LEN(SUBSTITUTE(TRIM(D131)," ",""))+7)</f>
        <v>161</v>
      </c>
      <c r="J131">
        <f>SUM( I131 / VLOOKUP(A131, BaseUP!A:H, 8, FALSE)*100)</f>
        <v>108.05369127516779</v>
      </c>
      <c r="K131">
        <f t="shared" ref="K131:K181" si="13">IF($C131="Agentic",SUM(E131/I131*100),SUM(F131/I131*100))</f>
        <v>6.2111801242236027</v>
      </c>
      <c r="L131" t="s">
        <v>679</v>
      </c>
      <c r="M131" t="str">
        <f t="shared" ref="M131:M181" si="14">IF(AND(J131&lt;=112, J131&gt;=90, K131&lt;=10.5, K131&gt;=4.5, L131="[]"), "Pass", "Fail")</f>
        <v>Pass</v>
      </c>
    </row>
    <row r="132" spans="1:13" ht="360" x14ac:dyDescent="0.25">
      <c r="A132">
        <v>66</v>
      </c>
      <c r="B132" t="s">
        <v>126</v>
      </c>
      <c r="C132" t="s">
        <v>11</v>
      </c>
      <c r="D132" s="1" t="s">
        <v>693</v>
      </c>
      <c r="E132">
        <f t="array" ref="E132">SUMPRODUCT(ISNUMBER(SEARCH(AgenticDict, D132))*1)</f>
        <v>14</v>
      </c>
      <c r="F132">
        <f t="array" ref="F132">SUMPRODUCT(ISNUMBER(SEARCH(CommunalDict, D132))*1)</f>
        <v>0</v>
      </c>
      <c r="G132">
        <f t="array" ref="G132">SUMPRODUCT(ISNUMBER(SEARCH(NeutralDict, D132))*1)</f>
        <v>13</v>
      </c>
      <c r="H132">
        <f t="shared" si="11"/>
        <v>0</v>
      </c>
      <c r="I132">
        <f t="shared" si="12"/>
        <v>159</v>
      </c>
      <c r="J132">
        <f>SUM( I132 / VLOOKUP(A132, BaseUP!A:H, 8, FALSE)*100)</f>
        <v>101.92307692307692</v>
      </c>
      <c r="K132">
        <f t="shared" si="13"/>
        <v>8.8050314465408803</v>
      </c>
      <c r="L132" t="s">
        <v>679</v>
      </c>
      <c r="M132" t="str">
        <f t="shared" si="14"/>
        <v>Pass</v>
      </c>
    </row>
    <row r="133" spans="1:13" ht="360" x14ac:dyDescent="0.25">
      <c r="A133">
        <v>66</v>
      </c>
      <c r="B133" t="s">
        <v>126</v>
      </c>
      <c r="C133" t="s">
        <v>13</v>
      </c>
      <c r="D133" s="1" t="s">
        <v>692</v>
      </c>
      <c r="E133">
        <f t="array" ref="E133">SUMPRODUCT(ISNUMBER(SEARCH(AgenticDict, D133))*1)</f>
        <v>2</v>
      </c>
      <c r="F133">
        <f t="array" ref="F133">SUMPRODUCT(ISNUMBER(SEARCH(CommunalDict, D133))*1)</f>
        <v>12</v>
      </c>
      <c r="G133">
        <f t="array" ref="G133">SUMPRODUCT(ISNUMBER(SEARCH(NeutralDict, D133))*1)</f>
        <v>12</v>
      </c>
      <c r="H133">
        <f t="shared" si="11"/>
        <v>0</v>
      </c>
      <c r="I133">
        <f t="shared" si="12"/>
        <v>160</v>
      </c>
      <c r="J133">
        <f>SUM( I133 / VLOOKUP(A133, BaseUP!A:H, 8, FALSE)*100)</f>
        <v>102.56410256410255</v>
      </c>
      <c r="K133">
        <f t="shared" si="13"/>
        <v>7.5</v>
      </c>
      <c r="L133" t="s">
        <v>679</v>
      </c>
      <c r="M133" t="str">
        <f t="shared" si="14"/>
        <v>Pass</v>
      </c>
    </row>
    <row r="134" spans="1:13" ht="342" x14ac:dyDescent="0.25">
      <c r="A134">
        <v>67</v>
      </c>
      <c r="B134" t="s">
        <v>126</v>
      </c>
      <c r="C134" t="s">
        <v>11</v>
      </c>
      <c r="D134" s="1" t="s">
        <v>535</v>
      </c>
      <c r="E134">
        <f t="array" ref="E134">SUMPRODUCT(ISNUMBER(SEARCH(AgenticDict, D134))*1)</f>
        <v>9</v>
      </c>
      <c r="F134">
        <f t="array" ref="F134">SUMPRODUCT(ISNUMBER(SEARCH(CommunalDict, D134))*1)</f>
        <v>0</v>
      </c>
      <c r="G134">
        <f t="array" ref="G134">SUMPRODUCT(ISNUMBER(SEARCH(NeutralDict, D134))*1)</f>
        <v>16</v>
      </c>
      <c r="H134">
        <f t="shared" si="11"/>
        <v>0</v>
      </c>
      <c r="I134">
        <f t="shared" si="12"/>
        <v>146</v>
      </c>
      <c r="J134">
        <f>SUM( I134 / VLOOKUP(A134, BaseUP!A:H, 8, FALSE)*100)</f>
        <v>102.09790209790211</v>
      </c>
      <c r="K134">
        <f t="shared" si="13"/>
        <v>6.1643835616438354</v>
      </c>
      <c r="L134" t="s">
        <v>679</v>
      </c>
      <c r="M134" t="str">
        <f t="shared" si="14"/>
        <v>Pass</v>
      </c>
    </row>
    <row r="135" spans="1:13" ht="342" x14ac:dyDescent="0.25">
      <c r="A135">
        <v>67</v>
      </c>
      <c r="B135" t="s">
        <v>126</v>
      </c>
      <c r="C135" t="s">
        <v>13</v>
      </c>
      <c r="D135" s="1" t="s">
        <v>536</v>
      </c>
      <c r="E135">
        <f t="array" ref="E135">SUMPRODUCT(ISNUMBER(SEARCH(AgenticDict, D135))*1)</f>
        <v>2</v>
      </c>
      <c r="F135">
        <f t="array" ref="F135">SUMPRODUCT(ISNUMBER(SEARCH(CommunalDict, D135))*1)</f>
        <v>8</v>
      </c>
      <c r="G135">
        <f t="array" ref="G135">SUMPRODUCT(ISNUMBER(SEARCH(NeutralDict, D135))*1)</f>
        <v>16</v>
      </c>
      <c r="H135">
        <f t="shared" si="11"/>
        <v>0</v>
      </c>
      <c r="I135">
        <f t="shared" si="12"/>
        <v>146</v>
      </c>
      <c r="J135">
        <f>SUM( I135 / VLOOKUP(A135, BaseUP!A:H, 8, FALSE)*100)</f>
        <v>102.09790209790211</v>
      </c>
      <c r="K135">
        <f t="shared" si="13"/>
        <v>5.4794520547945202</v>
      </c>
      <c r="L135" t="s">
        <v>679</v>
      </c>
      <c r="M135" t="str">
        <f t="shared" si="14"/>
        <v>Pass</v>
      </c>
    </row>
    <row r="136" spans="1:13" ht="342" x14ac:dyDescent="0.25">
      <c r="A136">
        <v>68</v>
      </c>
      <c r="B136" t="s">
        <v>126</v>
      </c>
      <c r="C136" t="s">
        <v>11</v>
      </c>
      <c r="D136" s="1" t="s">
        <v>1210</v>
      </c>
      <c r="E136">
        <f t="array" ref="E136">SUMPRODUCT(ISNUMBER(SEARCH(AgenticDict, D136))*1)</f>
        <v>13</v>
      </c>
      <c r="F136">
        <f t="array" ref="F136">SUMPRODUCT(ISNUMBER(SEARCH(CommunalDict, D136))*1)</f>
        <v>0</v>
      </c>
      <c r="G136">
        <f t="array" ref="G136">SUMPRODUCT(ISNUMBER(SEARCH(NeutralDict, D136))*1)</f>
        <v>16</v>
      </c>
      <c r="H136">
        <f t="shared" si="11"/>
        <v>0</v>
      </c>
      <c r="I136">
        <f t="shared" si="12"/>
        <v>154</v>
      </c>
      <c r="J136">
        <f>SUM( I136 / VLOOKUP(A136, BaseUP!A:H, 8, FALSE)*100)</f>
        <v>104.05405405405406</v>
      </c>
      <c r="K136">
        <f t="shared" si="13"/>
        <v>8.4415584415584419</v>
      </c>
      <c r="L136" t="s">
        <v>679</v>
      </c>
      <c r="M136" t="str">
        <f t="shared" si="14"/>
        <v>Pass</v>
      </c>
    </row>
    <row r="137" spans="1:13" ht="342" x14ac:dyDescent="0.25">
      <c r="A137">
        <v>68</v>
      </c>
      <c r="B137" t="s">
        <v>126</v>
      </c>
      <c r="C137" t="s">
        <v>13</v>
      </c>
      <c r="D137" s="1" t="s">
        <v>1211</v>
      </c>
      <c r="E137">
        <f t="array" ref="E137">SUMPRODUCT(ISNUMBER(SEARCH(AgenticDict, D137))*1)</f>
        <v>1</v>
      </c>
      <c r="F137">
        <f t="array" ref="F137">SUMPRODUCT(ISNUMBER(SEARCH(CommunalDict, D137))*1)</f>
        <v>10</v>
      </c>
      <c r="G137">
        <f t="array" ref="G137">SUMPRODUCT(ISNUMBER(SEARCH(NeutralDict, D137))*1)</f>
        <v>17</v>
      </c>
      <c r="H137">
        <f t="shared" si="11"/>
        <v>0</v>
      </c>
      <c r="I137">
        <f t="shared" si="12"/>
        <v>150</v>
      </c>
      <c r="J137">
        <f>SUM( I137 / VLOOKUP(A137, BaseUP!A:H, 8, FALSE)*100)</f>
        <v>101.35135135135135</v>
      </c>
      <c r="K137">
        <f t="shared" si="13"/>
        <v>6.666666666666667</v>
      </c>
      <c r="L137" t="s">
        <v>679</v>
      </c>
      <c r="M137" t="str">
        <f t="shared" si="14"/>
        <v>Pass</v>
      </c>
    </row>
    <row r="138" spans="1:13" ht="342" x14ac:dyDescent="0.25">
      <c r="A138">
        <v>69</v>
      </c>
      <c r="B138" t="s">
        <v>126</v>
      </c>
      <c r="C138" t="s">
        <v>11</v>
      </c>
      <c r="D138" s="1" t="s">
        <v>1212</v>
      </c>
      <c r="E138">
        <f t="array" ref="E138">SUMPRODUCT(ISNUMBER(SEARCH(AgenticDict, D138))*1)</f>
        <v>8</v>
      </c>
      <c r="F138">
        <f t="array" ref="F138">SUMPRODUCT(ISNUMBER(SEARCH(CommunalDict, D138))*1)</f>
        <v>0</v>
      </c>
      <c r="G138">
        <f t="array" ref="G138">SUMPRODUCT(ISNUMBER(SEARCH(NeutralDict, D138))*1)</f>
        <v>15</v>
      </c>
      <c r="H138">
        <f t="shared" si="11"/>
        <v>0</v>
      </c>
      <c r="I138">
        <f t="shared" si="12"/>
        <v>141</v>
      </c>
      <c r="J138">
        <f>SUM( I138 / VLOOKUP(A138, BaseUP!A:H, 8, FALSE)*100)</f>
        <v>98.6013986013986</v>
      </c>
      <c r="K138">
        <f t="shared" si="13"/>
        <v>5.6737588652482271</v>
      </c>
      <c r="L138" t="s">
        <v>679</v>
      </c>
      <c r="M138" t="str">
        <f t="shared" si="14"/>
        <v>Pass</v>
      </c>
    </row>
    <row r="139" spans="1:13" ht="342" x14ac:dyDescent="0.25">
      <c r="A139">
        <v>69</v>
      </c>
      <c r="B139" t="s">
        <v>126</v>
      </c>
      <c r="C139" t="s">
        <v>13</v>
      </c>
      <c r="D139" s="1" t="s">
        <v>1213</v>
      </c>
      <c r="E139">
        <f t="array" ref="E139">SUMPRODUCT(ISNUMBER(SEARCH(AgenticDict, D139))*1)</f>
        <v>1</v>
      </c>
      <c r="F139">
        <f t="array" ref="F139">SUMPRODUCT(ISNUMBER(SEARCH(CommunalDict, D139))*1)</f>
        <v>10</v>
      </c>
      <c r="G139">
        <f t="array" ref="G139">SUMPRODUCT(ISNUMBER(SEARCH(NeutralDict, D139))*1)</f>
        <v>15</v>
      </c>
      <c r="H139">
        <f t="shared" si="11"/>
        <v>0</v>
      </c>
      <c r="I139">
        <f t="shared" si="12"/>
        <v>144</v>
      </c>
      <c r="J139">
        <f>SUM( I139 / VLOOKUP(A139, BaseUP!A:H, 8, FALSE)*100)</f>
        <v>100.69930069930071</v>
      </c>
      <c r="K139">
        <f t="shared" si="13"/>
        <v>6.9444444444444446</v>
      </c>
      <c r="L139" t="s">
        <v>679</v>
      </c>
      <c r="M139" t="str">
        <f t="shared" si="14"/>
        <v>Pass</v>
      </c>
    </row>
    <row r="140" spans="1:13" ht="360" x14ac:dyDescent="0.25">
      <c r="A140">
        <v>70</v>
      </c>
      <c r="B140" t="s">
        <v>126</v>
      </c>
      <c r="C140" t="s">
        <v>11</v>
      </c>
      <c r="D140" s="1" t="s">
        <v>541</v>
      </c>
      <c r="E140">
        <f t="array" ref="E140">SUMPRODUCT(ISNUMBER(SEARCH(AgenticDict, D140))*1)</f>
        <v>10</v>
      </c>
      <c r="F140">
        <f t="array" ref="F140">SUMPRODUCT(ISNUMBER(SEARCH(CommunalDict, D140))*1)</f>
        <v>0</v>
      </c>
      <c r="G140">
        <f t="array" ref="G140">SUMPRODUCT(ISNUMBER(SEARCH(NeutralDict, D140))*1)</f>
        <v>16</v>
      </c>
      <c r="H140">
        <f t="shared" si="11"/>
        <v>0</v>
      </c>
      <c r="I140">
        <f t="shared" si="12"/>
        <v>163</v>
      </c>
      <c r="J140">
        <f>SUM( I140 / VLOOKUP(A140, BaseUP!A:H, 8, FALSE)*100)</f>
        <v>101.24223602484473</v>
      </c>
      <c r="K140">
        <f t="shared" si="13"/>
        <v>6.1349693251533743</v>
      </c>
      <c r="L140" t="s">
        <v>679</v>
      </c>
      <c r="M140" t="str">
        <f t="shared" si="14"/>
        <v>Pass</v>
      </c>
    </row>
    <row r="141" spans="1:13" ht="360" x14ac:dyDescent="0.25">
      <c r="A141">
        <v>70</v>
      </c>
      <c r="B141" t="s">
        <v>126</v>
      </c>
      <c r="C141" t="s">
        <v>13</v>
      </c>
      <c r="D141" s="1" t="s">
        <v>542</v>
      </c>
      <c r="E141">
        <f t="array" ref="E141">SUMPRODUCT(ISNUMBER(SEARCH(AgenticDict, D141))*1)</f>
        <v>2</v>
      </c>
      <c r="F141">
        <f t="array" ref="F141">SUMPRODUCT(ISNUMBER(SEARCH(CommunalDict, D141))*1)</f>
        <v>11</v>
      </c>
      <c r="G141">
        <f t="array" ref="G141">SUMPRODUCT(ISNUMBER(SEARCH(NeutralDict, D141))*1)</f>
        <v>16</v>
      </c>
      <c r="H141">
        <f t="shared" si="11"/>
        <v>0</v>
      </c>
      <c r="I141">
        <f t="shared" si="12"/>
        <v>172</v>
      </c>
      <c r="J141">
        <f>SUM( I141 / VLOOKUP(A141, BaseUP!A:H, 8, FALSE)*100)</f>
        <v>106.83229813664596</v>
      </c>
      <c r="K141">
        <f t="shared" si="13"/>
        <v>6.395348837209303</v>
      </c>
      <c r="L141" t="s">
        <v>679</v>
      </c>
      <c r="M141" t="str">
        <f t="shared" si="14"/>
        <v>Pass</v>
      </c>
    </row>
    <row r="142" spans="1:13" ht="360" x14ac:dyDescent="0.25">
      <c r="A142">
        <v>71</v>
      </c>
      <c r="B142" t="s">
        <v>126</v>
      </c>
      <c r="C142" t="s">
        <v>11</v>
      </c>
      <c r="D142" s="1" t="s">
        <v>1214</v>
      </c>
      <c r="E142">
        <f t="array" ref="E142">SUMPRODUCT(ISNUMBER(SEARCH(AgenticDict, D142))*1)</f>
        <v>10</v>
      </c>
      <c r="F142">
        <f t="array" ref="F142">SUMPRODUCT(ISNUMBER(SEARCH(CommunalDict, D142))*1)</f>
        <v>0</v>
      </c>
      <c r="G142">
        <f t="array" ref="G142">SUMPRODUCT(ISNUMBER(SEARCH(NeutralDict, D142))*1)</f>
        <v>12</v>
      </c>
      <c r="H142">
        <f t="shared" si="11"/>
        <v>0</v>
      </c>
      <c r="I142">
        <f t="shared" si="12"/>
        <v>159</v>
      </c>
      <c r="J142">
        <f>SUM( I142 / VLOOKUP(A142, BaseUP!A:H, 8, FALSE)*100)</f>
        <v>102.58064516129033</v>
      </c>
      <c r="K142">
        <f t="shared" si="13"/>
        <v>6.2893081761006293</v>
      </c>
      <c r="L142" t="s">
        <v>679</v>
      </c>
      <c r="M142" t="str">
        <f t="shared" si="14"/>
        <v>Pass</v>
      </c>
    </row>
    <row r="143" spans="1:13" ht="378" x14ac:dyDescent="0.25">
      <c r="A143">
        <v>71</v>
      </c>
      <c r="B143" t="s">
        <v>126</v>
      </c>
      <c r="C143" t="s">
        <v>13</v>
      </c>
      <c r="D143" s="1" t="s">
        <v>1215</v>
      </c>
      <c r="E143">
        <f t="array" ref="E143">SUMPRODUCT(ISNUMBER(SEARCH(AgenticDict, D143))*1)</f>
        <v>1</v>
      </c>
      <c r="F143">
        <f t="array" ref="F143">SUMPRODUCT(ISNUMBER(SEARCH(CommunalDict, D143))*1)</f>
        <v>11</v>
      </c>
      <c r="G143">
        <f t="array" ref="G143">SUMPRODUCT(ISNUMBER(SEARCH(NeutralDict, D143))*1)</f>
        <v>11</v>
      </c>
      <c r="H143">
        <f t="shared" si="11"/>
        <v>0</v>
      </c>
      <c r="I143">
        <f t="shared" si="12"/>
        <v>164</v>
      </c>
      <c r="J143">
        <f>SUM( I143 / VLOOKUP(A143, BaseUP!A:H, 8, FALSE)*100)</f>
        <v>105.80645161290323</v>
      </c>
      <c r="K143">
        <f t="shared" si="13"/>
        <v>6.7073170731707323</v>
      </c>
      <c r="L143" t="s">
        <v>679</v>
      </c>
      <c r="M143" t="str">
        <f t="shared" si="14"/>
        <v>Pass</v>
      </c>
    </row>
    <row r="144" spans="1:13" ht="360" x14ac:dyDescent="0.25">
      <c r="A144">
        <v>72</v>
      </c>
      <c r="B144" t="s">
        <v>126</v>
      </c>
      <c r="C144" t="s">
        <v>11</v>
      </c>
      <c r="D144" s="1" t="s">
        <v>544</v>
      </c>
      <c r="E144">
        <f t="array" ref="E144">SUMPRODUCT(ISNUMBER(SEARCH(AgenticDict, D144))*1)</f>
        <v>10</v>
      </c>
      <c r="F144">
        <f t="array" ref="F144">SUMPRODUCT(ISNUMBER(SEARCH(CommunalDict, D144))*1)</f>
        <v>0</v>
      </c>
      <c r="G144">
        <f t="array" ref="G144">SUMPRODUCT(ISNUMBER(SEARCH(NeutralDict, D144))*1)</f>
        <v>14</v>
      </c>
      <c r="H144">
        <f t="shared" si="11"/>
        <v>0</v>
      </c>
      <c r="I144">
        <f t="shared" si="12"/>
        <v>157</v>
      </c>
      <c r="J144">
        <f>SUM( I144 / VLOOKUP(A144, BaseUP!A:H, 8, FALSE)*100)</f>
        <v>102.61437908496731</v>
      </c>
      <c r="K144">
        <f t="shared" si="13"/>
        <v>6.369426751592357</v>
      </c>
      <c r="L144" t="s">
        <v>679</v>
      </c>
      <c r="M144" t="str">
        <f t="shared" si="14"/>
        <v>Pass</v>
      </c>
    </row>
    <row r="145" spans="1:13" ht="360" x14ac:dyDescent="0.25">
      <c r="A145">
        <v>72</v>
      </c>
      <c r="B145" t="s">
        <v>126</v>
      </c>
      <c r="C145" t="s">
        <v>13</v>
      </c>
      <c r="D145" s="1" t="s">
        <v>1088</v>
      </c>
      <c r="E145">
        <f t="array" ref="E145">SUMPRODUCT(ISNUMBER(SEARCH(AgenticDict, D145))*1)</f>
        <v>1</v>
      </c>
      <c r="F145">
        <f t="array" ref="F145">SUMPRODUCT(ISNUMBER(SEARCH(CommunalDict, D145))*1)</f>
        <v>10</v>
      </c>
      <c r="G145">
        <f t="array" ref="G145">SUMPRODUCT(ISNUMBER(SEARCH(NeutralDict, D145))*1)</f>
        <v>14</v>
      </c>
      <c r="H145">
        <f t="shared" si="11"/>
        <v>0</v>
      </c>
      <c r="I145">
        <f t="shared" si="12"/>
        <v>158</v>
      </c>
      <c r="J145">
        <f>SUM( I145 / VLOOKUP(A145, BaseUP!A:H, 8, FALSE)*100)</f>
        <v>103.26797385620917</v>
      </c>
      <c r="K145">
        <f t="shared" si="13"/>
        <v>6.3291139240506329</v>
      </c>
      <c r="L145" t="s">
        <v>679</v>
      </c>
      <c r="M145" t="str">
        <f t="shared" si="14"/>
        <v>Pass</v>
      </c>
    </row>
    <row r="146" spans="1:13" ht="360" x14ac:dyDescent="0.25">
      <c r="A146">
        <v>73</v>
      </c>
      <c r="B146" t="s">
        <v>126</v>
      </c>
      <c r="C146" t="s">
        <v>11</v>
      </c>
      <c r="D146" s="1" t="s">
        <v>545</v>
      </c>
      <c r="E146">
        <f t="array" ref="E146">SUMPRODUCT(ISNUMBER(SEARCH(AgenticDict, D146))*1)</f>
        <v>10</v>
      </c>
      <c r="F146">
        <f t="array" ref="F146">SUMPRODUCT(ISNUMBER(SEARCH(CommunalDict, D146))*1)</f>
        <v>0</v>
      </c>
      <c r="G146">
        <f t="array" ref="G146">SUMPRODUCT(ISNUMBER(SEARCH(NeutralDict, D146))*1)</f>
        <v>14</v>
      </c>
      <c r="H146">
        <f t="shared" si="11"/>
        <v>0</v>
      </c>
      <c r="I146">
        <f t="shared" si="12"/>
        <v>152</v>
      </c>
      <c r="J146">
        <f>SUM( I146 / VLOOKUP(A146, BaseUP!A:H, 8, FALSE)*100)</f>
        <v>102.01342281879195</v>
      </c>
      <c r="K146">
        <f t="shared" si="13"/>
        <v>6.5789473684210522</v>
      </c>
      <c r="L146" t="s">
        <v>679</v>
      </c>
      <c r="M146" t="str">
        <f t="shared" si="14"/>
        <v>Pass</v>
      </c>
    </row>
    <row r="147" spans="1:13" ht="342" x14ac:dyDescent="0.25">
      <c r="A147">
        <v>73</v>
      </c>
      <c r="B147" t="s">
        <v>126</v>
      </c>
      <c r="C147" t="s">
        <v>13</v>
      </c>
      <c r="D147" s="1" t="s">
        <v>730</v>
      </c>
      <c r="E147">
        <f t="array" ref="E147">SUMPRODUCT(ISNUMBER(SEARCH(AgenticDict, D147))*1)</f>
        <v>3</v>
      </c>
      <c r="F147">
        <f t="array" ref="F147">SUMPRODUCT(ISNUMBER(SEARCH(CommunalDict, D147))*1)</f>
        <v>10</v>
      </c>
      <c r="G147">
        <f t="array" ref="G147">SUMPRODUCT(ISNUMBER(SEARCH(NeutralDict, D147))*1)</f>
        <v>13</v>
      </c>
      <c r="H147">
        <f t="shared" si="11"/>
        <v>0</v>
      </c>
      <c r="I147">
        <f t="shared" si="12"/>
        <v>149</v>
      </c>
      <c r="J147">
        <f>SUM( I147 / VLOOKUP(A147, BaseUP!A:H, 8, FALSE)*100)</f>
        <v>100</v>
      </c>
      <c r="K147">
        <f t="shared" si="13"/>
        <v>6.7114093959731544</v>
      </c>
      <c r="L147" t="s">
        <v>679</v>
      </c>
      <c r="M147" t="str">
        <f t="shared" si="14"/>
        <v>Pass</v>
      </c>
    </row>
    <row r="148" spans="1:13" ht="360" x14ac:dyDescent="0.25">
      <c r="A148">
        <v>74</v>
      </c>
      <c r="B148" t="s">
        <v>126</v>
      </c>
      <c r="C148" t="s">
        <v>11</v>
      </c>
      <c r="D148" s="1" t="s">
        <v>546</v>
      </c>
      <c r="E148">
        <f t="array" ref="E148">SUMPRODUCT(ISNUMBER(SEARCH(AgenticDict, D148))*1)</f>
        <v>10</v>
      </c>
      <c r="F148">
        <f t="array" ref="F148">SUMPRODUCT(ISNUMBER(SEARCH(CommunalDict, D148))*1)</f>
        <v>0</v>
      </c>
      <c r="G148">
        <f t="array" ref="G148">SUMPRODUCT(ISNUMBER(SEARCH(NeutralDict, D148))*1)</f>
        <v>16</v>
      </c>
      <c r="H148">
        <f t="shared" si="11"/>
        <v>0</v>
      </c>
      <c r="I148">
        <f t="shared" si="12"/>
        <v>165</v>
      </c>
      <c r="J148">
        <f>SUM( I148 / VLOOKUP(A148, BaseUP!A:H, 8, FALSE)*100)</f>
        <v>101.85185185185186</v>
      </c>
      <c r="K148">
        <f t="shared" si="13"/>
        <v>6.0606060606060606</v>
      </c>
      <c r="L148" t="s">
        <v>679</v>
      </c>
      <c r="M148" t="str">
        <f t="shared" si="14"/>
        <v>Pass</v>
      </c>
    </row>
    <row r="149" spans="1:13" ht="360" x14ac:dyDescent="0.25">
      <c r="A149">
        <v>74</v>
      </c>
      <c r="B149" t="s">
        <v>126</v>
      </c>
      <c r="C149" t="s">
        <v>13</v>
      </c>
      <c r="D149" s="1" t="s">
        <v>1089</v>
      </c>
      <c r="E149">
        <f t="array" ref="E149">SUMPRODUCT(ISNUMBER(SEARCH(AgenticDict, D149))*1)</f>
        <v>2</v>
      </c>
      <c r="F149">
        <f t="array" ref="F149">SUMPRODUCT(ISNUMBER(SEARCH(CommunalDict, D149))*1)</f>
        <v>9</v>
      </c>
      <c r="G149">
        <f t="array" ref="G149">SUMPRODUCT(ISNUMBER(SEARCH(NeutralDict, D149))*1)</f>
        <v>16</v>
      </c>
      <c r="H149">
        <f t="shared" si="11"/>
        <v>0</v>
      </c>
      <c r="I149">
        <f t="shared" si="12"/>
        <v>164</v>
      </c>
      <c r="J149">
        <f>SUM( I149 / VLOOKUP(A149, BaseUP!A:H, 8, FALSE)*100)</f>
        <v>101.23456790123457</v>
      </c>
      <c r="K149">
        <f t="shared" si="13"/>
        <v>5.4878048780487809</v>
      </c>
      <c r="L149" t="s">
        <v>679</v>
      </c>
      <c r="M149" t="str">
        <f t="shared" si="14"/>
        <v>Pass</v>
      </c>
    </row>
    <row r="150" spans="1:13" ht="378" x14ac:dyDescent="0.25">
      <c r="A150">
        <v>75</v>
      </c>
      <c r="B150" t="s">
        <v>126</v>
      </c>
      <c r="C150" t="s">
        <v>11</v>
      </c>
      <c r="D150" s="1" t="s">
        <v>547</v>
      </c>
      <c r="E150">
        <f t="array" ref="E150">SUMPRODUCT(ISNUMBER(SEARCH(AgenticDict, D150))*1)</f>
        <v>10</v>
      </c>
      <c r="F150">
        <f t="array" ref="F150">SUMPRODUCT(ISNUMBER(SEARCH(CommunalDict, D150))*1)</f>
        <v>0</v>
      </c>
      <c r="G150">
        <f t="array" ref="G150">SUMPRODUCT(ISNUMBER(SEARCH(NeutralDict, D150))*1)</f>
        <v>15</v>
      </c>
      <c r="H150">
        <f t="shared" si="11"/>
        <v>0</v>
      </c>
      <c r="I150">
        <f t="shared" si="12"/>
        <v>173</v>
      </c>
      <c r="J150">
        <f>SUM( I150 / VLOOKUP(A150, BaseUP!A:H, 8, FALSE)*100)</f>
        <v>99.425287356321832</v>
      </c>
      <c r="K150">
        <f t="shared" si="13"/>
        <v>5.7803468208092488</v>
      </c>
      <c r="L150" t="s">
        <v>679</v>
      </c>
      <c r="M150" t="str">
        <f t="shared" si="14"/>
        <v>Pass</v>
      </c>
    </row>
    <row r="151" spans="1:13" ht="378" x14ac:dyDescent="0.25">
      <c r="A151">
        <v>75</v>
      </c>
      <c r="B151" t="s">
        <v>126</v>
      </c>
      <c r="C151" t="s">
        <v>13</v>
      </c>
      <c r="D151" s="1" t="s">
        <v>1090</v>
      </c>
      <c r="E151">
        <f t="array" ref="E151">SUMPRODUCT(ISNUMBER(SEARCH(AgenticDict, D151))*1)</f>
        <v>2</v>
      </c>
      <c r="F151">
        <f t="array" ref="F151">SUMPRODUCT(ISNUMBER(SEARCH(CommunalDict, D151))*1)</f>
        <v>15</v>
      </c>
      <c r="G151">
        <f t="array" ref="G151">SUMPRODUCT(ISNUMBER(SEARCH(NeutralDict, D151))*1)</f>
        <v>12</v>
      </c>
      <c r="H151">
        <f t="shared" si="11"/>
        <v>0</v>
      </c>
      <c r="I151">
        <f t="shared" si="12"/>
        <v>181</v>
      </c>
      <c r="J151">
        <f>SUM( I151 / VLOOKUP(A151, BaseUP!A:H, 8, FALSE)*100)</f>
        <v>104.02298850574712</v>
      </c>
      <c r="K151">
        <f t="shared" si="13"/>
        <v>8.2872928176795568</v>
      </c>
      <c r="L151" t="s">
        <v>679</v>
      </c>
      <c r="M151" t="str">
        <f t="shared" si="14"/>
        <v>Pass</v>
      </c>
    </row>
    <row r="152" spans="1:13" ht="378" x14ac:dyDescent="0.25">
      <c r="A152">
        <v>76</v>
      </c>
      <c r="B152" t="s">
        <v>126</v>
      </c>
      <c r="C152" t="s">
        <v>11</v>
      </c>
      <c r="D152" s="1" t="s">
        <v>548</v>
      </c>
      <c r="E152">
        <f t="array" ref="E152">SUMPRODUCT(ISNUMBER(SEARCH(AgenticDict, D152))*1)</f>
        <v>14</v>
      </c>
      <c r="F152">
        <f t="array" ref="F152">SUMPRODUCT(ISNUMBER(SEARCH(CommunalDict, D152))*1)</f>
        <v>0</v>
      </c>
      <c r="G152">
        <f t="array" ref="G152">SUMPRODUCT(ISNUMBER(SEARCH(NeutralDict, D152))*1)</f>
        <v>12</v>
      </c>
      <c r="H152">
        <f t="shared" si="11"/>
        <v>0</v>
      </c>
      <c r="I152">
        <f t="shared" si="12"/>
        <v>168</v>
      </c>
      <c r="J152">
        <f>SUM( I152 / VLOOKUP(A152, BaseUP!A:H, 8, FALSE)*100)</f>
        <v>103.7037037037037</v>
      </c>
      <c r="K152">
        <f t="shared" si="13"/>
        <v>8.3333333333333321</v>
      </c>
      <c r="L152" t="s">
        <v>679</v>
      </c>
      <c r="M152" t="str">
        <f t="shared" si="14"/>
        <v>Pass</v>
      </c>
    </row>
    <row r="153" spans="1:13" ht="360" x14ac:dyDescent="0.25">
      <c r="A153">
        <v>76</v>
      </c>
      <c r="B153" t="s">
        <v>126</v>
      </c>
      <c r="C153" t="s">
        <v>13</v>
      </c>
      <c r="D153" s="1" t="s">
        <v>690</v>
      </c>
      <c r="E153">
        <f t="array" ref="E153">SUMPRODUCT(ISNUMBER(SEARCH(AgenticDict, D153))*1)</f>
        <v>2</v>
      </c>
      <c r="F153">
        <f t="array" ref="F153">SUMPRODUCT(ISNUMBER(SEARCH(CommunalDict, D153))*1)</f>
        <v>12</v>
      </c>
      <c r="G153">
        <f t="array" ref="G153">SUMPRODUCT(ISNUMBER(SEARCH(NeutralDict, D153))*1)</f>
        <v>11</v>
      </c>
      <c r="H153">
        <f t="shared" si="11"/>
        <v>0</v>
      </c>
      <c r="I153">
        <f t="shared" si="12"/>
        <v>170</v>
      </c>
      <c r="J153">
        <f>SUM( I153 / VLOOKUP(A153, BaseUP!A:H, 8, FALSE)*100)</f>
        <v>104.93827160493827</v>
      </c>
      <c r="K153">
        <f t="shared" si="13"/>
        <v>7.0588235294117645</v>
      </c>
      <c r="L153" t="s">
        <v>679</v>
      </c>
      <c r="M153" t="str">
        <f t="shared" si="14"/>
        <v>Pass</v>
      </c>
    </row>
    <row r="154" spans="1:13" ht="360" x14ac:dyDescent="0.25">
      <c r="A154">
        <v>77</v>
      </c>
      <c r="B154" t="s">
        <v>126</v>
      </c>
      <c r="C154" t="s">
        <v>11</v>
      </c>
      <c r="D154" s="1" t="s">
        <v>549</v>
      </c>
      <c r="E154">
        <f t="array" ref="E154">SUMPRODUCT(ISNUMBER(SEARCH(AgenticDict, D154))*1)</f>
        <v>12</v>
      </c>
      <c r="F154">
        <f t="array" ref="F154">SUMPRODUCT(ISNUMBER(SEARCH(CommunalDict, D154))*1)</f>
        <v>1</v>
      </c>
      <c r="G154">
        <f t="array" ref="G154">SUMPRODUCT(ISNUMBER(SEARCH(NeutralDict, D154))*1)</f>
        <v>11</v>
      </c>
      <c r="H154">
        <f t="shared" si="11"/>
        <v>0</v>
      </c>
      <c r="I154">
        <f t="shared" si="12"/>
        <v>156</v>
      </c>
      <c r="J154">
        <f>SUM( I154 / VLOOKUP(A154, BaseUP!A:H, 8, FALSE)*100)</f>
        <v>101.96078431372548</v>
      </c>
      <c r="K154">
        <f t="shared" si="13"/>
        <v>7.6923076923076925</v>
      </c>
      <c r="L154" t="s">
        <v>679</v>
      </c>
      <c r="M154" t="str">
        <f t="shared" si="14"/>
        <v>Pass</v>
      </c>
    </row>
    <row r="155" spans="1:13" ht="378" x14ac:dyDescent="0.25">
      <c r="A155">
        <v>77</v>
      </c>
      <c r="B155" t="s">
        <v>126</v>
      </c>
      <c r="C155" t="s">
        <v>13</v>
      </c>
      <c r="D155" s="1" t="s">
        <v>689</v>
      </c>
      <c r="E155">
        <f t="array" ref="E155">SUMPRODUCT(ISNUMBER(SEARCH(AgenticDict, D155))*1)</f>
        <v>3</v>
      </c>
      <c r="F155">
        <f t="array" ref="F155">SUMPRODUCT(ISNUMBER(SEARCH(CommunalDict, D155))*1)</f>
        <v>13</v>
      </c>
      <c r="G155">
        <f t="array" ref="G155">SUMPRODUCT(ISNUMBER(SEARCH(NeutralDict, D155))*1)</f>
        <v>11</v>
      </c>
      <c r="H155">
        <f t="shared" si="11"/>
        <v>0</v>
      </c>
      <c r="I155">
        <f t="shared" si="12"/>
        <v>160</v>
      </c>
      <c r="J155">
        <f>SUM( I155 / VLOOKUP(A155, BaseUP!A:H, 8, FALSE)*100)</f>
        <v>104.57516339869282</v>
      </c>
      <c r="K155">
        <f t="shared" si="13"/>
        <v>8.125</v>
      </c>
      <c r="L155" t="s">
        <v>679</v>
      </c>
      <c r="M155" t="str">
        <f t="shared" si="14"/>
        <v>Pass</v>
      </c>
    </row>
    <row r="156" spans="1:13" ht="360" x14ac:dyDescent="0.25">
      <c r="A156">
        <v>78</v>
      </c>
      <c r="B156" t="s">
        <v>126</v>
      </c>
      <c r="C156" t="s">
        <v>11</v>
      </c>
      <c r="D156" s="1" t="s">
        <v>1201</v>
      </c>
      <c r="E156">
        <f t="array" ref="E156">SUMPRODUCT(ISNUMBER(SEARCH(AgenticDict, D156))*1)</f>
        <v>9</v>
      </c>
      <c r="F156">
        <f t="array" ref="F156">SUMPRODUCT(ISNUMBER(SEARCH(CommunalDict, D156))*1)</f>
        <v>0</v>
      </c>
      <c r="G156">
        <f t="array" ref="G156">SUMPRODUCT(ISNUMBER(SEARCH(NeutralDict, D156))*1)</f>
        <v>13</v>
      </c>
      <c r="H156">
        <f t="shared" si="11"/>
        <v>0</v>
      </c>
      <c r="I156">
        <f t="shared" si="12"/>
        <v>144</v>
      </c>
      <c r="J156">
        <f>SUM( I156 / VLOOKUP(A156, BaseUP!A:H, 8, FALSE)*100)</f>
        <v>102.12765957446808</v>
      </c>
      <c r="K156">
        <f t="shared" si="13"/>
        <v>6.25</v>
      </c>
      <c r="L156" t="s">
        <v>679</v>
      </c>
      <c r="M156" t="str">
        <f t="shared" si="14"/>
        <v>Pass</v>
      </c>
    </row>
    <row r="157" spans="1:13" ht="360" x14ac:dyDescent="0.25">
      <c r="A157">
        <v>78</v>
      </c>
      <c r="B157" t="s">
        <v>126</v>
      </c>
      <c r="C157" t="s">
        <v>13</v>
      </c>
      <c r="D157" s="1" t="s">
        <v>1202</v>
      </c>
      <c r="E157">
        <f t="array" ref="E157">SUMPRODUCT(ISNUMBER(SEARCH(AgenticDict, D157))*1)</f>
        <v>2</v>
      </c>
      <c r="F157">
        <f t="array" ref="F157">SUMPRODUCT(ISNUMBER(SEARCH(CommunalDict, D157))*1)</f>
        <v>9</v>
      </c>
      <c r="G157">
        <f t="array" ref="G157">SUMPRODUCT(ISNUMBER(SEARCH(NeutralDict, D157))*1)</f>
        <v>14</v>
      </c>
      <c r="H157">
        <f t="shared" si="11"/>
        <v>0</v>
      </c>
      <c r="I157">
        <f t="shared" si="12"/>
        <v>148</v>
      </c>
      <c r="J157">
        <f>SUM( I157 / VLOOKUP(A157, BaseUP!A:H, 8, FALSE)*100)</f>
        <v>104.9645390070922</v>
      </c>
      <c r="K157">
        <f t="shared" si="13"/>
        <v>6.0810810810810816</v>
      </c>
      <c r="L157" t="s">
        <v>679</v>
      </c>
      <c r="M157" t="str">
        <f t="shared" si="14"/>
        <v>Pass</v>
      </c>
    </row>
    <row r="158" spans="1:13" ht="378" x14ac:dyDescent="0.25">
      <c r="A158">
        <v>79</v>
      </c>
      <c r="B158" t="s">
        <v>126</v>
      </c>
      <c r="C158" t="s">
        <v>11</v>
      </c>
      <c r="D158" s="1" t="s">
        <v>1216</v>
      </c>
      <c r="E158">
        <f t="array" ref="E158">SUMPRODUCT(ISNUMBER(SEARCH(AgenticDict, D158))*1)</f>
        <v>12</v>
      </c>
      <c r="F158">
        <f t="array" ref="F158">SUMPRODUCT(ISNUMBER(SEARCH(CommunalDict, D158))*1)</f>
        <v>0</v>
      </c>
      <c r="G158">
        <f t="array" ref="G158">SUMPRODUCT(ISNUMBER(SEARCH(NeutralDict, D158))*1)</f>
        <v>15</v>
      </c>
      <c r="H158">
        <f t="shared" si="11"/>
        <v>0</v>
      </c>
      <c r="I158">
        <f t="shared" si="12"/>
        <v>172</v>
      </c>
      <c r="J158">
        <f>SUM( I158 / VLOOKUP(A158, BaseUP!A:H, 8, FALSE)*100)</f>
        <v>100</v>
      </c>
      <c r="K158">
        <f t="shared" si="13"/>
        <v>6.9767441860465116</v>
      </c>
      <c r="L158" t="s">
        <v>679</v>
      </c>
      <c r="M158" t="str">
        <f t="shared" si="14"/>
        <v>Pass</v>
      </c>
    </row>
    <row r="159" spans="1:13" ht="396" x14ac:dyDescent="0.25">
      <c r="A159">
        <v>79</v>
      </c>
      <c r="B159" t="s">
        <v>126</v>
      </c>
      <c r="C159" t="s">
        <v>13</v>
      </c>
      <c r="D159" s="1" t="s">
        <v>1217</v>
      </c>
      <c r="E159">
        <f t="array" ref="E159">SUMPRODUCT(ISNUMBER(SEARCH(AgenticDict, D159))*1)</f>
        <v>2</v>
      </c>
      <c r="F159">
        <f t="array" ref="F159">SUMPRODUCT(ISNUMBER(SEARCH(CommunalDict, D159))*1)</f>
        <v>16</v>
      </c>
      <c r="G159">
        <f t="array" ref="G159">SUMPRODUCT(ISNUMBER(SEARCH(NeutralDict, D159))*1)</f>
        <v>12</v>
      </c>
      <c r="H159">
        <f t="shared" si="11"/>
        <v>0</v>
      </c>
      <c r="I159">
        <f t="shared" si="12"/>
        <v>173</v>
      </c>
      <c r="J159">
        <f>SUM( I159 / VLOOKUP(A159, BaseUP!A:H, 8, FALSE)*100)</f>
        <v>100.58139534883721</v>
      </c>
      <c r="K159">
        <f t="shared" si="13"/>
        <v>9.2485549132947966</v>
      </c>
      <c r="L159" t="s">
        <v>679</v>
      </c>
      <c r="M159" t="str">
        <f t="shared" si="14"/>
        <v>Pass</v>
      </c>
    </row>
    <row r="160" spans="1:13" ht="360" x14ac:dyDescent="0.25">
      <c r="A160">
        <v>80</v>
      </c>
      <c r="B160" t="s">
        <v>126</v>
      </c>
      <c r="C160" t="s">
        <v>11</v>
      </c>
      <c r="D160" s="1" t="s">
        <v>551</v>
      </c>
      <c r="E160">
        <f t="array" ref="E160">SUMPRODUCT(ISNUMBER(SEARCH(AgenticDict, D160))*1)</f>
        <v>14</v>
      </c>
      <c r="F160">
        <f t="array" ref="F160">SUMPRODUCT(ISNUMBER(SEARCH(CommunalDict, D160))*1)</f>
        <v>0</v>
      </c>
      <c r="G160">
        <f t="array" ref="G160">SUMPRODUCT(ISNUMBER(SEARCH(NeutralDict, D160))*1)</f>
        <v>14</v>
      </c>
      <c r="H160">
        <f t="shared" si="11"/>
        <v>0</v>
      </c>
      <c r="I160">
        <f t="shared" si="12"/>
        <v>171</v>
      </c>
      <c r="J160">
        <f>SUM( I160 / VLOOKUP(A160, BaseUP!A:H, 8, FALSE)*100)</f>
        <v>100.58823529411765</v>
      </c>
      <c r="K160">
        <f t="shared" si="13"/>
        <v>8.1871345029239766</v>
      </c>
      <c r="L160" t="s">
        <v>679</v>
      </c>
      <c r="M160" t="str">
        <f t="shared" si="14"/>
        <v>Pass</v>
      </c>
    </row>
    <row r="161" spans="1:13" ht="360" x14ac:dyDescent="0.25">
      <c r="A161">
        <v>80</v>
      </c>
      <c r="B161" t="s">
        <v>126</v>
      </c>
      <c r="C161" t="s">
        <v>13</v>
      </c>
      <c r="D161" s="1" t="s">
        <v>1097</v>
      </c>
      <c r="E161">
        <f t="array" ref="E161">SUMPRODUCT(ISNUMBER(SEARCH(AgenticDict, D161))*1)</f>
        <v>1</v>
      </c>
      <c r="F161">
        <f t="array" ref="F161">SUMPRODUCT(ISNUMBER(SEARCH(CommunalDict, D161))*1)</f>
        <v>9</v>
      </c>
      <c r="G161">
        <f t="array" ref="G161">SUMPRODUCT(ISNUMBER(SEARCH(NeutralDict, D161))*1)</f>
        <v>16</v>
      </c>
      <c r="H161">
        <f t="shared" si="11"/>
        <v>0</v>
      </c>
      <c r="I161">
        <f t="shared" si="12"/>
        <v>177</v>
      </c>
      <c r="J161">
        <f>SUM( I161 / VLOOKUP(A161, BaseUP!A:H, 8, FALSE)*100)</f>
        <v>104.11764705882354</v>
      </c>
      <c r="K161">
        <f t="shared" si="13"/>
        <v>5.0847457627118651</v>
      </c>
      <c r="L161" t="s">
        <v>679</v>
      </c>
      <c r="M161" t="str">
        <f t="shared" si="14"/>
        <v>Pass</v>
      </c>
    </row>
    <row r="162" spans="1:13" ht="360" x14ac:dyDescent="0.25">
      <c r="A162">
        <v>81</v>
      </c>
      <c r="B162" t="s">
        <v>126</v>
      </c>
      <c r="C162" t="s">
        <v>11</v>
      </c>
      <c r="D162" s="1" t="s">
        <v>1091</v>
      </c>
      <c r="E162">
        <f t="array" ref="E162">SUMPRODUCT(ISNUMBER(SEARCH(AgenticDict, D162))*1)</f>
        <v>9</v>
      </c>
      <c r="F162">
        <f t="array" ref="F162">SUMPRODUCT(ISNUMBER(SEARCH(CommunalDict, D162))*1)</f>
        <v>1</v>
      </c>
      <c r="G162">
        <f t="array" ref="G162">SUMPRODUCT(ISNUMBER(SEARCH(NeutralDict, D162))*1)</f>
        <v>11</v>
      </c>
      <c r="H162">
        <f t="shared" si="11"/>
        <v>0</v>
      </c>
      <c r="I162">
        <f t="shared" si="12"/>
        <v>147</v>
      </c>
      <c r="J162">
        <f>SUM( I162 / VLOOKUP(A162, BaseUP!A:H, 8, FALSE)*100)</f>
        <v>102.08333333333333</v>
      </c>
      <c r="K162">
        <f t="shared" si="13"/>
        <v>6.1224489795918364</v>
      </c>
      <c r="L162" t="s">
        <v>679</v>
      </c>
      <c r="M162" t="str">
        <f t="shared" si="14"/>
        <v>Pass</v>
      </c>
    </row>
    <row r="163" spans="1:13" ht="360" x14ac:dyDescent="0.25">
      <c r="A163">
        <v>81</v>
      </c>
      <c r="B163" t="s">
        <v>126</v>
      </c>
      <c r="C163" t="s">
        <v>13</v>
      </c>
      <c r="D163" s="1" t="s">
        <v>552</v>
      </c>
      <c r="E163">
        <f t="array" ref="E163">SUMPRODUCT(ISNUMBER(SEARCH(AgenticDict, D163))*1)</f>
        <v>2</v>
      </c>
      <c r="F163">
        <f t="array" ref="F163">SUMPRODUCT(ISNUMBER(SEARCH(CommunalDict, D163))*1)</f>
        <v>8</v>
      </c>
      <c r="G163">
        <f t="array" ref="G163">SUMPRODUCT(ISNUMBER(SEARCH(NeutralDict, D163))*1)</f>
        <v>11</v>
      </c>
      <c r="H163">
        <f t="shared" si="11"/>
        <v>0</v>
      </c>
      <c r="I163">
        <f t="shared" si="12"/>
        <v>147</v>
      </c>
      <c r="J163">
        <f>SUM( I163 / VLOOKUP(A163, BaseUP!A:H, 8, FALSE)*100)</f>
        <v>102.08333333333333</v>
      </c>
      <c r="K163">
        <f t="shared" si="13"/>
        <v>5.4421768707482991</v>
      </c>
      <c r="L163" t="s">
        <v>679</v>
      </c>
      <c r="M163" t="str">
        <f t="shared" si="14"/>
        <v>Pass</v>
      </c>
    </row>
    <row r="164" spans="1:13" ht="378" x14ac:dyDescent="0.25">
      <c r="A164">
        <v>82</v>
      </c>
      <c r="B164" t="s">
        <v>126</v>
      </c>
      <c r="C164" t="s">
        <v>11</v>
      </c>
      <c r="D164" s="1" t="s">
        <v>686</v>
      </c>
      <c r="E164">
        <f t="array" ref="E164">SUMPRODUCT(ISNUMBER(SEARCH(AgenticDict, D164))*1)</f>
        <v>15</v>
      </c>
      <c r="F164">
        <f t="array" ref="F164">SUMPRODUCT(ISNUMBER(SEARCH(CommunalDict, D164))*1)</f>
        <v>1</v>
      </c>
      <c r="G164">
        <f t="array" ref="G164">SUMPRODUCT(ISNUMBER(SEARCH(NeutralDict, D164))*1)</f>
        <v>14</v>
      </c>
      <c r="H164">
        <f t="shared" si="11"/>
        <v>0</v>
      </c>
      <c r="I164">
        <f t="shared" si="12"/>
        <v>165</v>
      </c>
      <c r="J164">
        <f>SUM( I164 / VLOOKUP(A164, BaseUP!A:H, 8, FALSE)*100)</f>
        <v>100.60975609756098</v>
      </c>
      <c r="K164">
        <f t="shared" si="13"/>
        <v>9.0909090909090917</v>
      </c>
      <c r="L164" t="s">
        <v>679</v>
      </c>
      <c r="M164" t="str">
        <f t="shared" si="14"/>
        <v>Pass</v>
      </c>
    </row>
    <row r="165" spans="1:13" ht="378" x14ac:dyDescent="0.25">
      <c r="A165">
        <v>82</v>
      </c>
      <c r="B165" t="s">
        <v>126</v>
      </c>
      <c r="C165" t="s">
        <v>13</v>
      </c>
      <c r="D165" s="1" t="s">
        <v>553</v>
      </c>
      <c r="E165">
        <f t="array" ref="E165">SUMPRODUCT(ISNUMBER(SEARCH(AgenticDict, D165))*1)</f>
        <v>3</v>
      </c>
      <c r="F165">
        <f t="array" ref="F165">SUMPRODUCT(ISNUMBER(SEARCH(CommunalDict, D165))*1)</f>
        <v>9</v>
      </c>
      <c r="G165">
        <f t="array" ref="G165">SUMPRODUCT(ISNUMBER(SEARCH(NeutralDict, D165))*1)</f>
        <v>16</v>
      </c>
      <c r="H165">
        <f t="shared" si="11"/>
        <v>0</v>
      </c>
      <c r="I165">
        <f t="shared" si="12"/>
        <v>167</v>
      </c>
      <c r="J165">
        <f>SUM( I165 / VLOOKUP(A165, BaseUP!A:H, 8, FALSE)*100)</f>
        <v>101.82926829268293</v>
      </c>
      <c r="K165">
        <f t="shared" si="13"/>
        <v>5.3892215568862278</v>
      </c>
      <c r="L165" t="s">
        <v>679</v>
      </c>
      <c r="M165" t="str">
        <f t="shared" si="14"/>
        <v>Pass</v>
      </c>
    </row>
    <row r="166" spans="1:13" ht="342" x14ac:dyDescent="0.25">
      <c r="A166">
        <v>83</v>
      </c>
      <c r="B166" t="s">
        <v>126</v>
      </c>
      <c r="C166" t="s">
        <v>11</v>
      </c>
      <c r="D166" s="1" t="s">
        <v>554</v>
      </c>
      <c r="E166">
        <f t="array" ref="E166">SUMPRODUCT(ISNUMBER(SEARCH(AgenticDict, D166))*1)</f>
        <v>9</v>
      </c>
      <c r="F166">
        <f t="array" ref="F166">SUMPRODUCT(ISNUMBER(SEARCH(CommunalDict, D166))*1)</f>
        <v>0</v>
      </c>
      <c r="G166">
        <f t="array" ref="G166">SUMPRODUCT(ISNUMBER(SEARCH(NeutralDict, D166))*1)</f>
        <v>13</v>
      </c>
      <c r="H166">
        <f t="shared" si="11"/>
        <v>0</v>
      </c>
      <c r="I166">
        <f t="shared" si="12"/>
        <v>153</v>
      </c>
      <c r="J166">
        <f>SUM( I166 / VLOOKUP(A166, BaseUP!A:H, 8, FALSE)*100)</f>
        <v>102</v>
      </c>
      <c r="K166">
        <f t="shared" si="13"/>
        <v>5.8823529411764701</v>
      </c>
      <c r="L166" t="s">
        <v>679</v>
      </c>
      <c r="M166" t="str">
        <f t="shared" si="14"/>
        <v>Pass</v>
      </c>
    </row>
    <row r="167" spans="1:13" ht="360" x14ac:dyDescent="0.25">
      <c r="A167">
        <v>83</v>
      </c>
      <c r="B167" t="s">
        <v>126</v>
      </c>
      <c r="C167" t="s">
        <v>13</v>
      </c>
      <c r="D167" s="1" t="s">
        <v>555</v>
      </c>
      <c r="E167">
        <f t="array" ref="E167">SUMPRODUCT(ISNUMBER(SEARCH(AgenticDict, D167))*1)</f>
        <v>1</v>
      </c>
      <c r="F167">
        <f t="array" ref="F167">SUMPRODUCT(ISNUMBER(SEARCH(CommunalDict, D167))*1)</f>
        <v>12</v>
      </c>
      <c r="G167">
        <f t="array" ref="G167">SUMPRODUCT(ISNUMBER(SEARCH(NeutralDict, D167))*1)</f>
        <v>13</v>
      </c>
      <c r="H167">
        <f t="shared" si="11"/>
        <v>0</v>
      </c>
      <c r="I167">
        <f t="shared" si="12"/>
        <v>160</v>
      </c>
      <c r="J167">
        <f>SUM( I167 / VLOOKUP(A167, BaseUP!A:H, 8, FALSE)*100)</f>
        <v>106.66666666666667</v>
      </c>
      <c r="K167">
        <f t="shared" si="13"/>
        <v>7.5</v>
      </c>
      <c r="L167" t="s">
        <v>679</v>
      </c>
      <c r="M167" t="str">
        <f t="shared" si="14"/>
        <v>Pass</v>
      </c>
    </row>
    <row r="168" spans="1:13" ht="360" x14ac:dyDescent="0.25">
      <c r="A168">
        <v>84</v>
      </c>
      <c r="B168" t="s">
        <v>126</v>
      </c>
      <c r="C168" t="s">
        <v>11</v>
      </c>
      <c r="D168" s="1" t="s">
        <v>1092</v>
      </c>
      <c r="E168">
        <f t="array" ref="E168">SUMPRODUCT(ISNUMBER(SEARCH(AgenticDict, D168))*1)</f>
        <v>8</v>
      </c>
      <c r="F168">
        <f t="array" ref="F168">SUMPRODUCT(ISNUMBER(SEARCH(CommunalDict, D168))*1)</f>
        <v>0</v>
      </c>
      <c r="G168">
        <f t="array" ref="G168">SUMPRODUCT(ISNUMBER(SEARCH(NeutralDict, D168))*1)</f>
        <v>14</v>
      </c>
      <c r="H168">
        <f t="shared" si="11"/>
        <v>0</v>
      </c>
      <c r="I168">
        <f t="shared" si="12"/>
        <v>154</v>
      </c>
      <c r="J168">
        <f>SUM( I168 / VLOOKUP(A168, BaseUP!A:H, 8, FALSE)*100)</f>
        <v>97.468354430379748</v>
      </c>
      <c r="K168">
        <f t="shared" si="13"/>
        <v>5.1948051948051948</v>
      </c>
      <c r="L168" t="s">
        <v>679</v>
      </c>
      <c r="M168" t="str">
        <f t="shared" si="14"/>
        <v>Pass</v>
      </c>
    </row>
    <row r="169" spans="1:13" ht="360" x14ac:dyDescent="0.25">
      <c r="A169">
        <v>84</v>
      </c>
      <c r="B169" t="s">
        <v>126</v>
      </c>
      <c r="C169" t="s">
        <v>13</v>
      </c>
      <c r="D169" s="1" t="s">
        <v>556</v>
      </c>
      <c r="E169">
        <f t="array" ref="E169">SUMPRODUCT(ISNUMBER(SEARCH(AgenticDict, D169))*1)</f>
        <v>3</v>
      </c>
      <c r="F169">
        <f t="array" ref="F169">SUMPRODUCT(ISNUMBER(SEARCH(CommunalDict, D169))*1)</f>
        <v>9</v>
      </c>
      <c r="G169">
        <f t="array" ref="G169">SUMPRODUCT(ISNUMBER(SEARCH(NeutralDict, D169))*1)</f>
        <v>14</v>
      </c>
      <c r="H169">
        <f t="shared" si="11"/>
        <v>0</v>
      </c>
      <c r="I169">
        <f t="shared" si="12"/>
        <v>160</v>
      </c>
      <c r="J169">
        <f>SUM( I169 / VLOOKUP(A169, BaseUP!A:H, 8, FALSE)*100)</f>
        <v>101.26582278481013</v>
      </c>
      <c r="K169">
        <f t="shared" si="13"/>
        <v>5.625</v>
      </c>
      <c r="L169" t="s">
        <v>679</v>
      </c>
      <c r="M169" t="str">
        <f t="shared" si="14"/>
        <v>Pass</v>
      </c>
    </row>
    <row r="170" spans="1:13" ht="360" x14ac:dyDescent="0.25">
      <c r="A170">
        <v>85</v>
      </c>
      <c r="B170" t="s">
        <v>126</v>
      </c>
      <c r="C170" t="s">
        <v>11</v>
      </c>
      <c r="D170" s="1" t="s">
        <v>1218</v>
      </c>
      <c r="E170">
        <f t="array" ref="E170">SUMPRODUCT(ISNUMBER(SEARCH(AgenticDict, D170))*1)</f>
        <v>12</v>
      </c>
      <c r="F170">
        <f t="array" ref="F170">SUMPRODUCT(ISNUMBER(SEARCH(CommunalDict, D170))*1)</f>
        <v>0</v>
      </c>
      <c r="G170">
        <f t="array" ref="G170">SUMPRODUCT(ISNUMBER(SEARCH(NeutralDict, D170))*1)</f>
        <v>16</v>
      </c>
      <c r="H170">
        <f t="shared" si="11"/>
        <v>0</v>
      </c>
      <c r="I170">
        <f t="shared" si="12"/>
        <v>150</v>
      </c>
      <c r="J170">
        <f>SUM( I170 / VLOOKUP(A170, BaseUP!A:H, 8, FALSE)*100)</f>
        <v>104.89510489510489</v>
      </c>
      <c r="K170">
        <f t="shared" si="13"/>
        <v>8</v>
      </c>
      <c r="L170" t="s">
        <v>679</v>
      </c>
      <c r="M170" t="str">
        <f t="shared" si="14"/>
        <v>Pass</v>
      </c>
    </row>
    <row r="171" spans="1:13" ht="360" x14ac:dyDescent="0.25">
      <c r="A171">
        <v>85</v>
      </c>
      <c r="B171" t="s">
        <v>126</v>
      </c>
      <c r="C171" t="s">
        <v>13</v>
      </c>
      <c r="D171" s="1" t="s">
        <v>1219</v>
      </c>
      <c r="E171">
        <f t="array" ref="E171">SUMPRODUCT(ISNUMBER(SEARCH(AgenticDict, D171))*1)</f>
        <v>2</v>
      </c>
      <c r="F171">
        <f t="array" ref="F171">SUMPRODUCT(ISNUMBER(SEARCH(CommunalDict, D171))*1)</f>
        <v>14</v>
      </c>
      <c r="G171">
        <f t="array" ref="G171">SUMPRODUCT(ISNUMBER(SEARCH(NeutralDict, D171))*1)</f>
        <v>15</v>
      </c>
      <c r="H171">
        <f t="shared" si="11"/>
        <v>0</v>
      </c>
      <c r="I171">
        <f t="shared" si="12"/>
        <v>153</v>
      </c>
      <c r="J171">
        <f>SUM( I171 / VLOOKUP(A171, BaseUP!A:H, 8, FALSE)*100)</f>
        <v>106.993006993007</v>
      </c>
      <c r="K171">
        <f t="shared" si="13"/>
        <v>9.1503267973856204</v>
      </c>
      <c r="L171" t="s">
        <v>679</v>
      </c>
      <c r="M171" t="str">
        <f t="shared" si="14"/>
        <v>Pass</v>
      </c>
    </row>
    <row r="172" spans="1:13" ht="360" x14ac:dyDescent="0.25">
      <c r="A172">
        <v>86</v>
      </c>
      <c r="B172" t="s">
        <v>126</v>
      </c>
      <c r="C172" t="s">
        <v>11</v>
      </c>
      <c r="D172" s="1" t="s">
        <v>1220</v>
      </c>
      <c r="E172">
        <f t="array" ref="E172">SUMPRODUCT(ISNUMBER(SEARCH(AgenticDict, D172))*1)</f>
        <v>11</v>
      </c>
      <c r="F172">
        <f t="array" ref="F172">SUMPRODUCT(ISNUMBER(SEARCH(CommunalDict, D172))*1)</f>
        <v>0</v>
      </c>
      <c r="G172">
        <f t="array" ref="G172">SUMPRODUCT(ISNUMBER(SEARCH(NeutralDict, D172))*1)</f>
        <v>13</v>
      </c>
      <c r="H172">
        <f t="shared" si="11"/>
        <v>0</v>
      </c>
      <c r="I172">
        <f t="shared" si="12"/>
        <v>167</v>
      </c>
      <c r="J172">
        <f>SUM( I172 / VLOOKUP(A172, BaseUP!A:H, 8, FALSE)*100)</f>
        <v>101.82926829268293</v>
      </c>
      <c r="K172">
        <f t="shared" si="13"/>
        <v>6.5868263473053901</v>
      </c>
      <c r="L172" t="s">
        <v>679</v>
      </c>
      <c r="M172" t="str">
        <f t="shared" si="14"/>
        <v>Pass</v>
      </c>
    </row>
    <row r="173" spans="1:13" ht="360" x14ac:dyDescent="0.25">
      <c r="A173">
        <v>86</v>
      </c>
      <c r="B173" t="s">
        <v>126</v>
      </c>
      <c r="C173" t="s">
        <v>13</v>
      </c>
      <c r="D173" s="1" t="s">
        <v>1221</v>
      </c>
      <c r="E173">
        <f t="array" ref="E173">SUMPRODUCT(ISNUMBER(SEARCH(AgenticDict, D173))*1)</f>
        <v>0</v>
      </c>
      <c r="F173">
        <f t="array" ref="F173">SUMPRODUCT(ISNUMBER(SEARCH(CommunalDict, D173))*1)</f>
        <v>10</v>
      </c>
      <c r="G173">
        <f t="array" ref="G173">SUMPRODUCT(ISNUMBER(SEARCH(NeutralDict, D173))*1)</f>
        <v>12</v>
      </c>
      <c r="H173">
        <f t="shared" si="11"/>
        <v>0</v>
      </c>
      <c r="I173">
        <f t="shared" si="12"/>
        <v>167</v>
      </c>
      <c r="J173">
        <f>SUM( I173 / VLOOKUP(A173, BaseUP!A:H, 8, FALSE)*100)</f>
        <v>101.82926829268293</v>
      </c>
      <c r="K173">
        <f t="shared" si="13"/>
        <v>5.9880239520958085</v>
      </c>
      <c r="L173" t="s">
        <v>679</v>
      </c>
      <c r="M173" t="str">
        <f t="shared" si="14"/>
        <v>Pass</v>
      </c>
    </row>
    <row r="174" spans="1:13" ht="360" x14ac:dyDescent="0.25">
      <c r="A174">
        <v>87</v>
      </c>
      <c r="B174" t="s">
        <v>126</v>
      </c>
      <c r="C174" t="s">
        <v>11</v>
      </c>
      <c r="D174" s="1" t="s">
        <v>559</v>
      </c>
      <c r="E174">
        <f t="array" ref="E174">SUMPRODUCT(ISNUMBER(SEARCH(AgenticDict, D174))*1)</f>
        <v>10</v>
      </c>
      <c r="F174">
        <f t="array" ref="F174">SUMPRODUCT(ISNUMBER(SEARCH(CommunalDict, D174))*1)</f>
        <v>0</v>
      </c>
      <c r="G174">
        <f t="array" ref="G174">SUMPRODUCT(ISNUMBER(SEARCH(NeutralDict, D174))*1)</f>
        <v>14</v>
      </c>
      <c r="H174">
        <f t="shared" si="11"/>
        <v>0</v>
      </c>
      <c r="I174">
        <f t="shared" si="12"/>
        <v>159</v>
      </c>
      <c r="J174">
        <f>SUM( I174 / VLOOKUP(A174, BaseUP!A:H, 8, FALSE)*100)</f>
        <v>103.24675324675326</v>
      </c>
      <c r="K174">
        <f t="shared" si="13"/>
        <v>6.2893081761006293</v>
      </c>
      <c r="L174" t="s">
        <v>679</v>
      </c>
      <c r="M174" t="str">
        <f t="shared" si="14"/>
        <v>Pass</v>
      </c>
    </row>
    <row r="175" spans="1:13" ht="360" x14ac:dyDescent="0.25">
      <c r="A175">
        <v>87</v>
      </c>
      <c r="B175" t="s">
        <v>126</v>
      </c>
      <c r="C175" t="s">
        <v>13</v>
      </c>
      <c r="D175" s="1" t="s">
        <v>1098</v>
      </c>
      <c r="E175">
        <f t="array" ref="E175">SUMPRODUCT(ISNUMBER(SEARCH(AgenticDict, D175))*1)</f>
        <v>0</v>
      </c>
      <c r="F175">
        <f t="array" ref="F175">SUMPRODUCT(ISNUMBER(SEARCH(CommunalDict, D175))*1)</f>
        <v>8</v>
      </c>
      <c r="G175">
        <f t="array" ref="G175">SUMPRODUCT(ISNUMBER(SEARCH(NeutralDict, D175))*1)</f>
        <v>13</v>
      </c>
      <c r="H175">
        <f t="shared" si="11"/>
        <v>0</v>
      </c>
      <c r="I175">
        <f t="shared" si="12"/>
        <v>156</v>
      </c>
      <c r="J175">
        <f>SUM( I175 / VLOOKUP(A175, BaseUP!A:H, 8, FALSE)*100)</f>
        <v>101.29870129870129</v>
      </c>
      <c r="K175">
        <f t="shared" si="13"/>
        <v>5.1282051282051277</v>
      </c>
      <c r="L175" t="s">
        <v>679</v>
      </c>
      <c r="M175" t="str">
        <f t="shared" si="14"/>
        <v>Pass</v>
      </c>
    </row>
    <row r="176" spans="1:13" ht="378" x14ac:dyDescent="0.25">
      <c r="A176">
        <v>88</v>
      </c>
      <c r="B176" t="s">
        <v>126</v>
      </c>
      <c r="C176" t="s">
        <v>11</v>
      </c>
      <c r="D176" s="1" t="s">
        <v>1222</v>
      </c>
      <c r="E176">
        <f t="array" ref="E176">SUMPRODUCT(ISNUMBER(SEARCH(AgenticDict, D176))*1)</f>
        <v>9</v>
      </c>
      <c r="F176">
        <f t="array" ref="F176">SUMPRODUCT(ISNUMBER(SEARCH(CommunalDict, D176))*1)</f>
        <v>0</v>
      </c>
      <c r="G176">
        <f t="array" ref="G176">SUMPRODUCT(ISNUMBER(SEARCH(NeutralDict, D176))*1)</f>
        <v>14</v>
      </c>
      <c r="H176">
        <f t="shared" si="11"/>
        <v>0</v>
      </c>
      <c r="I176">
        <f t="shared" si="12"/>
        <v>160</v>
      </c>
      <c r="J176">
        <f>SUM( I176 / VLOOKUP(A176, BaseUP!A:H, 8, FALSE)*100)</f>
        <v>101.26582278481013</v>
      </c>
      <c r="K176">
        <f t="shared" si="13"/>
        <v>5.625</v>
      </c>
      <c r="L176" t="s">
        <v>679</v>
      </c>
      <c r="M176" t="str">
        <f t="shared" si="14"/>
        <v>Pass</v>
      </c>
    </row>
    <row r="177" spans="1:13" ht="360" x14ac:dyDescent="0.25">
      <c r="A177">
        <v>88</v>
      </c>
      <c r="B177" t="s">
        <v>126</v>
      </c>
      <c r="C177" t="s">
        <v>13</v>
      </c>
      <c r="D177" s="1" t="s">
        <v>1223</v>
      </c>
      <c r="E177">
        <f t="array" ref="E177">SUMPRODUCT(ISNUMBER(SEARCH(AgenticDict, D177))*1)</f>
        <v>2</v>
      </c>
      <c r="F177">
        <f t="array" ref="F177">SUMPRODUCT(ISNUMBER(SEARCH(CommunalDict, D177))*1)</f>
        <v>9</v>
      </c>
      <c r="G177">
        <f t="array" ref="G177">SUMPRODUCT(ISNUMBER(SEARCH(NeutralDict, D177))*1)</f>
        <v>14</v>
      </c>
      <c r="H177">
        <f t="shared" si="11"/>
        <v>0</v>
      </c>
      <c r="I177">
        <f t="shared" si="12"/>
        <v>161</v>
      </c>
      <c r="J177">
        <f>SUM( I177 / VLOOKUP(A177, BaseUP!A:H, 8, FALSE)*100)</f>
        <v>101.8987341772152</v>
      </c>
      <c r="K177">
        <f t="shared" si="13"/>
        <v>5.5900621118012426</v>
      </c>
      <c r="L177" t="s">
        <v>679</v>
      </c>
      <c r="M177" t="str">
        <f t="shared" si="14"/>
        <v>Pass</v>
      </c>
    </row>
    <row r="178" spans="1:13" ht="360" x14ac:dyDescent="0.25">
      <c r="A178">
        <v>89</v>
      </c>
      <c r="B178" t="s">
        <v>126</v>
      </c>
      <c r="C178" t="s">
        <v>11</v>
      </c>
      <c r="D178" s="1" t="s">
        <v>1203</v>
      </c>
      <c r="E178">
        <f t="array" ref="E178">SUMPRODUCT(ISNUMBER(SEARCH(AgenticDict, D178))*1)</f>
        <v>10</v>
      </c>
      <c r="F178">
        <f t="array" ref="F178">SUMPRODUCT(ISNUMBER(SEARCH(CommunalDict, D178))*1)</f>
        <v>0</v>
      </c>
      <c r="G178">
        <f t="array" ref="G178">SUMPRODUCT(ISNUMBER(SEARCH(NeutralDict, D178))*1)</f>
        <v>16</v>
      </c>
      <c r="H178">
        <f t="shared" si="11"/>
        <v>0</v>
      </c>
      <c r="I178">
        <f t="shared" si="12"/>
        <v>164</v>
      </c>
      <c r="J178">
        <f>SUM( I178 / VLOOKUP(A178, BaseUP!A:H, 8, FALSE)*100)</f>
        <v>100.61349693251533</v>
      </c>
      <c r="K178">
        <f t="shared" si="13"/>
        <v>6.0975609756097562</v>
      </c>
      <c r="L178" t="s">
        <v>679</v>
      </c>
      <c r="M178" t="str">
        <f t="shared" si="14"/>
        <v>Pass</v>
      </c>
    </row>
    <row r="179" spans="1:13" ht="360" x14ac:dyDescent="0.25">
      <c r="A179">
        <v>89</v>
      </c>
      <c r="B179" t="s">
        <v>126</v>
      </c>
      <c r="C179" t="s">
        <v>13</v>
      </c>
      <c r="D179" s="1" t="s">
        <v>1204</v>
      </c>
      <c r="E179">
        <f t="array" ref="E179">SUMPRODUCT(ISNUMBER(SEARCH(AgenticDict, D179))*1)</f>
        <v>1</v>
      </c>
      <c r="F179">
        <f t="array" ref="F179">SUMPRODUCT(ISNUMBER(SEARCH(CommunalDict, D179))*1)</f>
        <v>14</v>
      </c>
      <c r="G179">
        <f t="array" ref="G179">SUMPRODUCT(ISNUMBER(SEARCH(NeutralDict, D179))*1)</f>
        <v>14</v>
      </c>
      <c r="H179">
        <f t="shared" si="11"/>
        <v>0</v>
      </c>
      <c r="I179">
        <f t="shared" si="12"/>
        <v>168</v>
      </c>
      <c r="J179">
        <f>SUM( I179 / VLOOKUP(A179, BaseUP!A:H, 8, FALSE)*100)</f>
        <v>103.06748466257669</v>
      </c>
      <c r="K179">
        <f t="shared" si="13"/>
        <v>8.3333333333333321</v>
      </c>
      <c r="L179" t="s">
        <v>679</v>
      </c>
      <c r="M179" t="str">
        <f t="shared" si="14"/>
        <v>Pass</v>
      </c>
    </row>
    <row r="180" spans="1:13" ht="360" x14ac:dyDescent="0.25">
      <c r="A180">
        <v>90</v>
      </c>
      <c r="B180" t="s">
        <v>126</v>
      </c>
      <c r="C180" t="s">
        <v>11</v>
      </c>
      <c r="D180" s="1" t="s">
        <v>561</v>
      </c>
      <c r="E180">
        <f t="array" ref="E180">SUMPRODUCT(ISNUMBER(SEARCH(AgenticDict, D180))*1)</f>
        <v>9</v>
      </c>
      <c r="F180">
        <f t="array" ref="F180">SUMPRODUCT(ISNUMBER(SEARCH(CommunalDict, D180))*1)</f>
        <v>0</v>
      </c>
      <c r="G180">
        <f t="array" ref="G180">SUMPRODUCT(ISNUMBER(SEARCH(NeutralDict, D180))*1)</f>
        <v>16</v>
      </c>
      <c r="H180">
        <f t="shared" si="11"/>
        <v>0</v>
      </c>
      <c r="I180">
        <f t="shared" si="12"/>
        <v>160</v>
      </c>
      <c r="J180">
        <f>SUM( I180 / VLOOKUP(A180, BaseUP!A:H, 8, FALSE)*100)</f>
        <v>100</v>
      </c>
      <c r="K180">
        <f t="shared" si="13"/>
        <v>5.625</v>
      </c>
      <c r="L180" t="s">
        <v>679</v>
      </c>
      <c r="M180" t="str">
        <f t="shared" si="14"/>
        <v>Pass</v>
      </c>
    </row>
    <row r="181" spans="1:13" ht="378" x14ac:dyDescent="0.25">
      <c r="A181">
        <v>90</v>
      </c>
      <c r="B181" t="s">
        <v>126</v>
      </c>
      <c r="C181" t="s">
        <v>13</v>
      </c>
      <c r="D181" s="1" t="s">
        <v>562</v>
      </c>
      <c r="E181">
        <f t="array" ref="E181">SUMPRODUCT(ISNUMBER(SEARCH(AgenticDict, D181))*1)</f>
        <v>3</v>
      </c>
      <c r="F181">
        <f t="array" ref="F181">SUMPRODUCT(ISNUMBER(SEARCH(CommunalDict, D181))*1)</f>
        <v>11</v>
      </c>
      <c r="G181">
        <f t="array" ref="G181">SUMPRODUCT(ISNUMBER(SEARCH(NeutralDict, D181))*1)</f>
        <v>16</v>
      </c>
      <c r="H181">
        <f t="shared" si="11"/>
        <v>0</v>
      </c>
      <c r="I181">
        <f t="shared" si="12"/>
        <v>170</v>
      </c>
      <c r="J181">
        <f>SUM( I181 / VLOOKUP(A181, BaseUP!A:H, 8, FALSE)*100)</f>
        <v>106.25</v>
      </c>
      <c r="K181">
        <f t="shared" si="13"/>
        <v>6.4705882352941186</v>
      </c>
      <c r="L181" t="s">
        <v>679</v>
      </c>
      <c r="M181" t="str">
        <f t="shared" si="14"/>
        <v>Pass</v>
      </c>
    </row>
  </sheetData>
  <autoFilter ref="A1:M181" xr:uid="{F99C3855-D975-4FF7-9948-B793A82C4F2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81BA-B118-4113-886E-07513FC35FFA}">
  <dimension ref="A1:M181"/>
  <sheetViews>
    <sheetView topLeftCell="A2" workbookViewId="0">
      <selection activeCell="D14" sqref="D14"/>
    </sheetView>
  </sheetViews>
  <sheetFormatPr defaultRowHeight="18" x14ac:dyDescent="0.25"/>
  <cols>
    <col min="4" max="4" width="87.625" bestFit="1" customWidth="1"/>
  </cols>
  <sheetData>
    <row r="1" spans="1:13" x14ac:dyDescent="0.25">
      <c r="A1" t="s">
        <v>0</v>
      </c>
      <c r="B1" t="s">
        <v>1</v>
      </c>
      <c r="C1" t="s">
        <v>2</v>
      </c>
      <c r="D1" t="s">
        <v>3</v>
      </c>
      <c r="E1" t="s">
        <v>4</v>
      </c>
      <c r="F1" t="s">
        <v>5</v>
      </c>
      <c r="G1" t="s">
        <v>6</v>
      </c>
      <c r="H1" t="s">
        <v>7</v>
      </c>
      <c r="I1" t="s">
        <v>8</v>
      </c>
      <c r="J1" t="s">
        <v>647</v>
      </c>
      <c r="K1" t="s">
        <v>648</v>
      </c>
      <c r="L1" t="s">
        <v>680</v>
      </c>
      <c r="M1" t="s">
        <v>681</v>
      </c>
    </row>
    <row r="2" spans="1:13" x14ac:dyDescent="0.25">
      <c r="A2">
        <v>1</v>
      </c>
      <c r="B2" t="s">
        <v>10</v>
      </c>
      <c r="C2" t="s">
        <v>11</v>
      </c>
      <c r="D2" t="s">
        <v>1106</v>
      </c>
      <c r="E2">
        <f t="array" ref="E2">SUMPRODUCT(ISNUMBER(SEARCH(AgenticDict, D2))*1)</f>
        <v>9</v>
      </c>
      <c r="F2">
        <f t="array" ref="F2">SUMPRODUCT(ISNUMBER(SEARCH(CommunalDict, D2))*1)</f>
        <v>0</v>
      </c>
      <c r="G2">
        <f t="array" ref="G2">SUMPRODUCT(ISNUMBER(SEARCH(NeutralDict, D2))*1)</f>
        <v>23</v>
      </c>
      <c r="H2">
        <f t="shared" ref="H2:H65" si="0">SUMPRODUCT(ISNUMBER(SEARCH(NegativeDict, D2))*1)</f>
        <v>0</v>
      </c>
      <c r="I2">
        <f t="shared" ref="I2:I65" si="1">IF(LEN(TRIM(D2))=0,0,LEN(TRIM(D2))-LEN(SUBSTITUTE(TRIM(D2)," ",""))+7)</f>
        <v>154</v>
      </c>
      <c r="J2">
        <f>SUM( I2 / VLOOKUP(A2, BaseUP!A:H, 8, FALSE)*100)</f>
        <v>106.94444444444444</v>
      </c>
      <c r="K2">
        <f t="shared" ref="K2:K65" si="2">IF($C2="Agentic",SUM(E2/I2*100),SUM(F2/I2*100))</f>
        <v>5.8441558441558437</v>
      </c>
      <c r="L2" t="s">
        <v>679</v>
      </c>
      <c r="M2" t="str">
        <f>IF(AND(J2&lt;=112, J2&gt;=90, K2&lt;=10.5, K2&gt;=4.5, L2="[]"), "Pass", "Fail")</f>
        <v>Pass</v>
      </c>
    </row>
    <row r="3" spans="1:13" ht="360" x14ac:dyDescent="0.25">
      <c r="A3">
        <v>1</v>
      </c>
      <c r="B3" t="s">
        <v>10</v>
      </c>
      <c r="C3" t="s">
        <v>13</v>
      </c>
      <c r="D3" s="1" t="s">
        <v>1115</v>
      </c>
      <c r="E3">
        <f t="array" ref="E3">SUMPRODUCT(ISNUMBER(SEARCH(AgenticDict, D3))*1)</f>
        <v>0</v>
      </c>
      <c r="F3">
        <f t="array" ref="F3">SUMPRODUCT(ISNUMBER(SEARCH(CommunalDict, D3))*1)</f>
        <v>8</v>
      </c>
      <c r="G3">
        <f t="array" ref="G3">SUMPRODUCT(ISNUMBER(SEARCH(NeutralDict, D3))*1)</f>
        <v>27</v>
      </c>
      <c r="H3">
        <f t="shared" si="0"/>
        <v>0</v>
      </c>
      <c r="I3">
        <f t="shared" si="1"/>
        <v>160</v>
      </c>
      <c r="J3">
        <f>SUM( I3 / VLOOKUP(A3, BaseUP!A:H, 8, FALSE)*100)</f>
        <v>111.11111111111111</v>
      </c>
      <c r="K3">
        <f t="shared" si="2"/>
        <v>5</v>
      </c>
      <c r="L3" t="s">
        <v>679</v>
      </c>
      <c r="M3" t="str">
        <f t="shared" ref="M3:M66" si="3">IF(AND(J3&lt;=112, J3&gt;=90, K3&lt;=10.5, K3&gt;=4.5, L3="[]"), "Pass", "Fail")</f>
        <v>Pass</v>
      </c>
    </row>
    <row r="4" spans="1:13" x14ac:dyDescent="0.25">
      <c r="A4">
        <v>2</v>
      </c>
      <c r="B4" t="s">
        <v>10</v>
      </c>
      <c r="C4" t="s">
        <v>11</v>
      </c>
      <c r="D4" t="s">
        <v>1107</v>
      </c>
      <c r="E4">
        <f t="array" ref="E4">SUMPRODUCT(ISNUMBER(SEARCH(AgenticDict, D4))*1)</f>
        <v>10</v>
      </c>
      <c r="F4">
        <f t="array" ref="F4">SUMPRODUCT(ISNUMBER(SEARCH(CommunalDict, D4))*1)</f>
        <v>0</v>
      </c>
      <c r="G4">
        <f t="array" ref="G4">SUMPRODUCT(ISNUMBER(SEARCH(NeutralDict, D4))*1)</f>
        <v>22</v>
      </c>
      <c r="H4">
        <f t="shared" si="0"/>
        <v>0</v>
      </c>
      <c r="I4">
        <f t="shared" si="1"/>
        <v>148</v>
      </c>
      <c r="J4">
        <f>SUM( I4 / VLOOKUP(A4, BaseUP!A:H, 8, FALSE)*100)</f>
        <v>106.4748201438849</v>
      </c>
      <c r="K4">
        <f t="shared" si="2"/>
        <v>6.756756756756757</v>
      </c>
      <c r="L4" t="s">
        <v>679</v>
      </c>
      <c r="M4" t="str">
        <f t="shared" si="3"/>
        <v>Pass</v>
      </c>
    </row>
    <row r="5" spans="1:13" x14ac:dyDescent="0.25">
      <c r="A5">
        <v>2</v>
      </c>
      <c r="B5" t="s">
        <v>10</v>
      </c>
      <c r="C5" t="s">
        <v>13</v>
      </c>
      <c r="D5" t="s">
        <v>1108</v>
      </c>
      <c r="E5">
        <f t="array" ref="E5">SUMPRODUCT(ISNUMBER(SEARCH(AgenticDict, D5))*1)</f>
        <v>2</v>
      </c>
      <c r="F5">
        <f t="array" ref="F5">SUMPRODUCT(ISNUMBER(SEARCH(CommunalDict, D5))*1)</f>
        <v>8</v>
      </c>
      <c r="G5">
        <f t="array" ref="G5">SUMPRODUCT(ISNUMBER(SEARCH(NeutralDict, D5))*1)</f>
        <v>21</v>
      </c>
      <c r="H5">
        <f t="shared" si="0"/>
        <v>0</v>
      </c>
      <c r="I5">
        <f t="shared" si="1"/>
        <v>148</v>
      </c>
      <c r="J5">
        <f>SUM( I5 / VLOOKUP(A5, BaseUP!A:H, 8, FALSE)*100)</f>
        <v>106.4748201438849</v>
      </c>
      <c r="K5">
        <f t="shared" si="2"/>
        <v>5.4054054054054053</v>
      </c>
      <c r="L5" t="s">
        <v>679</v>
      </c>
      <c r="M5" t="str">
        <f t="shared" si="3"/>
        <v>Pass</v>
      </c>
    </row>
    <row r="6" spans="1:13" x14ac:dyDescent="0.25">
      <c r="A6">
        <v>3</v>
      </c>
      <c r="B6" t="s">
        <v>69</v>
      </c>
      <c r="C6" t="s">
        <v>11</v>
      </c>
      <c r="D6" t="s">
        <v>1109</v>
      </c>
      <c r="E6">
        <f t="array" ref="E6">SUMPRODUCT(ISNUMBER(SEARCH(AgenticDict, D6))*1)</f>
        <v>10</v>
      </c>
      <c r="F6">
        <f t="array" ref="F6">SUMPRODUCT(ISNUMBER(SEARCH(CommunalDict, D6))*1)</f>
        <v>0</v>
      </c>
      <c r="G6">
        <f t="array" ref="G6">SUMPRODUCT(ISNUMBER(SEARCH(NeutralDict, D6))*1)</f>
        <v>20</v>
      </c>
      <c r="H6">
        <f t="shared" si="0"/>
        <v>0</v>
      </c>
      <c r="I6">
        <f t="shared" si="1"/>
        <v>144</v>
      </c>
      <c r="J6">
        <f>SUM( I6 / VLOOKUP(A6, BaseUP!A:H, 8, FALSE)*100)</f>
        <v>109.92366412213741</v>
      </c>
      <c r="K6">
        <f t="shared" si="2"/>
        <v>6.9444444444444446</v>
      </c>
      <c r="L6" t="s">
        <v>679</v>
      </c>
      <c r="M6" t="str">
        <f t="shared" si="3"/>
        <v>Pass</v>
      </c>
    </row>
    <row r="7" spans="1:13" ht="360" x14ac:dyDescent="0.25">
      <c r="A7">
        <v>3</v>
      </c>
      <c r="B7" t="s">
        <v>69</v>
      </c>
      <c r="C7" t="s">
        <v>13</v>
      </c>
      <c r="D7" s="1" t="s">
        <v>1116</v>
      </c>
      <c r="E7">
        <f t="array" ref="E7">SUMPRODUCT(ISNUMBER(SEARCH(AgenticDict, D7))*1)</f>
        <v>0</v>
      </c>
      <c r="F7">
        <f t="array" ref="F7">SUMPRODUCT(ISNUMBER(SEARCH(CommunalDict, D7))*1)</f>
        <v>7</v>
      </c>
      <c r="G7">
        <f t="array" ref="G7">SUMPRODUCT(ISNUMBER(SEARCH(NeutralDict, D7))*1)</f>
        <v>20</v>
      </c>
      <c r="H7">
        <f t="shared" si="0"/>
        <v>0</v>
      </c>
      <c r="I7">
        <f t="shared" si="1"/>
        <v>144</v>
      </c>
      <c r="J7">
        <f>SUM( I7 / VLOOKUP(A7, BaseUP!A:H, 8, FALSE)*100)</f>
        <v>109.92366412213741</v>
      </c>
      <c r="K7">
        <f t="shared" si="2"/>
        <v>4.8611111111111116</v>
      </c>
      <c r="L7" t="s">
        <v>679</v>
      </c>
      <c r="M7" t="str">
        <f t="shared" si="3"/>
        <v>Pass</v>
      </c>
    </row>
    <row r="8" spans="1:13" x14ac:dyDescent="0.25">
      <c r="A8">
        <v>4</v>
      </c>
      <c r="B8" t="s">
        <v>69</v>
      </c>
      <c r="C8" t="s">
        <v>11</v>
      </c>
      <c r="D8" t="s">
        <v>1110</v>
      </c>
      <c r="E8">
        <f t="array" ref="E8">SUMPRODUCT(ISNUMBER(SEARCH(AgenticDict, D8))*1)</f>
        <v>7</v>
      </c>
      <c r="F8">
        <f t="array" ref="F8">SUMPRODUCT(ISNUMBER(SEARCH(CommunalDict, D8))*1)</f>
        <v>0</v>
      </c>
      <c r="G8">
        <f t="array" ref="G8">SUMPRODUCT(ISNUMBER(SEARCH(NeutralDict, D8))*1)</f>
        <v>21</v>
      </c>
      <c r="H8">
        <f t="shared" si="0"/>
        <v>0</v>
      </c>
      <c r="I8">
        <f t="shared" si="1"/>
        <v>139</v>
      </c>
      <c r="J8">
        <f>SUM( I8 / VLOOKUP(A8, BaseUP!A:H, 8, FALSE)*100)</f>
        <v>109.44881889763781</v>
      </c>
      <c r="K8">
        <f t="shared" si="2"/>
        <v>5.0359712230215825</v>
      </c>
      <c r="L8" t="s">
        <v>679</v>
      </c>
      <c r="M8" t="str">
        <f t="shared" si="3"/>
        <v>Pass</v>
      </c>
    </row>
    <row r="9" spans="1:13" ht="342" x14ac:dyDescent="0.25">
      <c r="A9">
        <v>4</v>
      </c>
      <c r="B9" t="s">
        <v>69</v>
      </c>
      <c r="C9" t="s">
        <v>13</v>
      </c>
      <c r="D9" s="1" t="s">
        <v>1119</v>
      </c>
      <c r="E9">
        <f t="array" ref="E9">SUMPRODUCT(ISNUMBER(SEARCH(AgenticDict, D9))*1)</f>
        <v>1</v>
      </c>
      <c r="F9">
        <f t="array" ref="F9">SUMPRODUCT(ISNUMBER(SEARCH(CommunalDict, D9))*1)</f>
        <v>7</v>
      </c>
      <c r="G9">
        <f t="array" ref="G9">SUMPRODUCT(ISNUMBER(SEARCH(NeutralDict, D9))*1)</f>
        <v>20</v>
      </c>
      <c r="H9">
        <f t="shared" si="0"/>
        <v>0</v>
      </c>
      <c r="I9">
        <f t="shared" si="1"/>
        <v>141</v>
      </c>
      <c r="J9">
        <f>SUM( I9 / VLOOKUP(A9, BaseUP!A:H, 8, FALSE)*100)</f>
        <v>111.0236220472441</v>
      </c>
      <c r="K9">
        <f t="shared" si="2"/>
        <v>4.9645390070921991</v>
      </c>
      <c r="L9" t="s">
        <v>679</v>
      </c>
      <c r="M9" t="str">
        <f t="shared" si="3"/>
        <v>Pass</v>
      </c>
    </row>
    <row r="10" spans="1:13" x14ac:dyDescent="0.25">
      <c r="A10">
        <v>5</v>
      </c>
      <c r="B10" t="s">
        <v>126</v>
      </c>
      <c r="C10" t="s">
        <v>11</v>
      </c>
      <c r="D10" t="s">
        <v>1111</v>
      </c>
      <c r="E10">
        <f t="array" ref="E10">SUMPRODUCT(ISNUMBER(SEARCH(AgenticDict, D10))*1)</f>
        <v>7</v>
      </c>
      <c r="F10">
        <f t="array" ref="F10">SUMPRODUCT(ISNUMBER(SEARCH(CommunalDict, D10))*1)</f>
        <v>0</v>
      </c>
      <c r="G10">
        <f t="array" ref="G10">SUMPRODUCT(ISNUMBER(SEARCH(NeutralDict, D10))*1)</f>
        <v>18</v>
      </c>
      <c r="H10">
        <f t="shared" si="0"/>
        <v>0</v>
      </c>
      <c r="I10">
        <f t="shared" si="1"/>
        <v>140</v>
      </c>
      <c r="J10">
        <f>SUM( I10 / VLOOKUP(A10, BaseUP!A:H, 8, FALSE)*100)</f>
        <v>101.44927536231884</v>
      </c>
      <c r="K10">
        <f t="shared" si="2"/>
        <v>5</v>
      </c>
      <c r="L10" t="s">
        <v>679</v>
      </c>
      <c r="M10" t="str">
        <f t="shared" si="3"/>
        <v>Pass</v>
      </c>
    </row>
    <row r="11" spans="1:13" x14ac:dyDescent="0.25">
      <c r="A11">
        <v>5</v>
      </c>
      <c r="B11" t="s">
        <v>126</v>
      </c>
      <c r="C11" t="s">
        <v>13</v>
      </c>
      <c r="D11" t="s">
        <v>1112</v>
      </c>
      <c r="E11">
        <f t="array" ref="E11">SUMPRODUCT(ISNUMBER(SEARCH(AgenticDict, D11))*1)</f>
        <v>0</v>
      </c>
      <c r="F11">
        <f t="array" ref="F11">SUMPRODUCT(ISNUMBER(SEARCH(CommunalDict, D11))*1)</f>
        <v>8</v>
      </c>
      <c r="G11">
        <f t="array" ref="G11">SUMPRODUCT(ISNUMBER(SEARCH(NeutralDict, D11))*1)</f>
        <v>18</v>
      </c>
      <c r="H11">
        <f t="shared" si="0"/>
        <v>0</v>
      </c>
      <c r="I11">
        <f t="shared" si="1"/>
        <v>154</v>
      </c>
      <c r="J11">
        <f>SUM( I11 / VLOOKUP(A11, BaseUP!A:H, 8, FALSE)*100)</f>
        <v>111.59420289855073</v>
      </c>
      <c r="K11">
        <f t="shared" si="2"/>
        <v>5.1948051948051948</v>
      </c>
      <c r="L11" t="s">
        <v>679</v>
      </c>
      <c r="M11" t="str">
        <f t="shared" si="3"/>
        <v>Pass</v>
      </c>
    </row>
    <row r="12" spans="1:13" ht="342" x14ac:dyDescent="0.25">
      <c r="A12">
        <v>6</v>
      </c>
      <c r="B12" t="s">
        <v>126</v>
      </c>
      <c r="C12" t="s">
        <v>11</v>
      </c>
      <c r="D12" s="1" t="s">
        <v>1117</v>
      </c>
      <c r="E12">
        <f t="array" ref="E12">SUMPRODUCT(ISNUMBER(SEARCH(AgenticDict, D12))*1)</f>
        <v>7</v>
      </c>
      <c r="F12">
        <f t="array" ref="F12">SUMPRODUCT(ISNUMBER(SEARCH(CommunalDict, D12))*1)</f>
        <v>1</v>
      </c>
      <c r="G12">
        <f t="array" ref="G12">SUMPRODUCT(ISNUMBER(SEARCH(NeutralDict, D12))*1)</f>
        <v>18</v>
      </c>
      <c r="H12">
        <f t="shared" si="0"/>
        <v>0</v>
      </c>
      <c r="I12">
        <f t="shared" si="1"/>
        <v>134</v>
      </c>
      <c r="J12">
        <f>SUM( I12 / VLOOKUP(A12, BaseUP!A:H, 8, FALSE)*100)</f>
        <v>107.2</v>
      </c>
      <c r="K12">
        <f t="shared" si="2"/>
        <v>5.2238805970149249</v>
      </c>
      <c r="L12" t="s">
        <v>679</v>
      </c>
      <c r="M12" t="str">
        <f t="shared" si="3"/>
        <v>Pass</v>
      </c>
    </row>
    <row r="13" spans="1:13" ht="342" x14ac:dyDescent="0.25">
      <c r="A13">
        <v>6</v>
      </c>
      <c r="B13" t="s">
        <v>126</v>
      </c>
      <c r="C13" t="s">
        <v>13</v>
      </c>
      <c r="D13" s="1" t="s">
        <v>1118</v>
      </c>
      <c r="E13">
        <f t="array" ref="E13">SUMPRODUCT(ISNUMBER(SEARCH(AgenticDict, D13))*1)</f>
        <v>0</v>
      </c>
      <c r="F13">
        <f t="array" ref="F13">SUMPRODUCT(ISNUMBER(SEARCH(CommunalDict, D13))*1)</f>
        <v>7</v>
      </c>
      <c r="G13">
        <f t="array" ref="G13">SUMPRODUCT(ISNUMBER(SEARCH(NeutralDict, D13))*1)</f>
        <v>19</v>
      </c>
      <c r="H13">
        <f t="shared" si="0"/>
        <v>0</v>
      </c>
      <c r="I13">
        <f t="shared" si="1"/>
        <v>135</v>
      </c>
      <c r="J13">
        <f>SUM( I13 / VLOOKUP(A13, BaseUP!A:H, 8, FALSE)*100)</f>
        <v>108</v>
      </c>
      <c r="K13">
        <f t="shared" si="2"/>
        <v>5.1851851851851851</v>
      </c>
      <c r="L13" t="s">
        <v>679</v>
      </c>
      <c r="M13" t="str">
        <f t="shared" si="3"/>
        <v>Pass</v>
      </c>
    </row>
    <row r="14" spans="1:13" ht="342" x14ac:dyDescent="0.25">
      <c r="A14">
        <v>7</v>
      </c>
      <c r="B14" t="s">
        <v>10</v>
      </c>
      <c r="C14" t="s">
        <v>11</v>
      </c>
      <c r="D14" s="1" t="s">
        <v>480</v>
      </c>
      <c r="E14">
        <f t="array" ref="E14">SUMPRODUCT(ISNUMBER(SEARCH(AgenticDict, D14))*1)</f>
        <v>10</v>
      </c>
      <c r="F14">
        <f t="array" ref="F14">SUMPRODUCT(ISNUMBER(SEARCH(CommunalDict, D14))*1)</f>
        <v>2</v>
      </c>
      <c r="G14">
        <f t="array" ref="G14">SUMPRODUCT(ISNUMBER(SEARCH(NeutralDict, D14))*1)</f>
        <v>14</v>
      </c>
      <c r="H14">
        <f t="shared" si="0"/>
        <v>0</v>
      </c>
      <c r="I14">
        <f t="shared" si="1"/>
        <v>135</v>
      </c>
      <c r="J14">
        <f>SUM( I14 / VLOOKUP(A14, BaseUP!A:H, 8, FALSE)*100)</f>
        <v>105.46875</v>
      </c>
      <c r="K14">
        <f t="shared" si="2"/>
        <v>7.4074074074074066</v>
      </c>
      <c r="L14" t="s">
        <v>679</v>
      </c>
      <c r="M14" t="str">
        <f t="shared" si="3"/>
        <v>Pass</v>
      </c>
    </row>
    <row r="15" spans="1:13" ht="342" x14ac:dyDescent="0.25">
      <c r="A15">
        <v>7</v>
      </c>
      <c r="B15" t="s">
        <v>10</v>
      </c>
      <c r="C15" t="s">
        <v>13</v>
      </c>
      <c r="D15" s="1" t="s">
        <v>713</v>
      </c>
      <c r="E15">
        <f t="array" ref="E15">SUMPRODUCT(ISNUMBER(SEARCH(AgenticDict, D15))*1)</f>
        <v>2</v>
      </c>
      <c r="F15">
        <f t="array" ref="F15">SUMPRODUCT(ISNUMBER(SEARCH(CommunalDict, D15))*1)</f>
        <v>7</v>
      </c>
      <c r="G15">
        <f t="array" ref="G15">SUMPRODUCT(ISNUMBER(SEARCH(NeutralDict, D15))*1)</f>
        <v>15</v>
      </c>
      <c r="H15">
        <f t="shared" si="0"/>
        <v>0</v>
      </c>
      <c r="I15">
        <f t="shared" si="1"/>
        <v>135</v>
      </c>
      <c r="J15">
        <f>SUM( I15 / VLOOKUP(A15, BaseUP!A:H, 8, FALSE)*100)</f>
        <v>105.46875</v>
      </c>
      <c r="K15">
        <f t="shared" si="2"/>
        <v>5.1851851851851851</v>
      </c>
      <c r="L15" t="s">
        <v>679</v>
      </c>
      <c r="M15" t="str">
        <f t="shared" si="3"/>
        <v>Pass</v>
      </c>
    </row>
    <row r="16" spans="1:13" ht="324" x14ac:dyDescent="0.25">
      <c r="A16">
        <v>8</v>
      </c>
      <c r="B16" t="s">
        <v>10</v>
      </c>
      <c r="C16" t="s">
        <v>11</v>
      </c>
      <c r="D16" s="1" t="s">
        <v>481</v>
      </c>
      <c r="E16">
        <f t="array" ref="E16">SUMPRODUCT(ISNUMBER(SEARCH(AgenticDict, D16))*1)</f>
        <v>10</v>
      </c>
      <c r="F16">
        <f t="array" ref="F16">SUMPRODUCT(ISNUMBER(SEARCH(CommunalDict, D16))*1)</f>
        <v>1</v>
      </c>
      <c r="G16">
        <f t="array" ref="G16">SUMPRODUCT(ISNUMBER(SEARCH(NeutralDict, D16))*1)</f>
        <v>11</v>
      </c>
      <c r="H16">
        <f t="shared" si="0"/>
        <v>0</v>
      </c>
      <c r="I16">
        <f t="shared" si="1"/>
        <v>133</v>
      </c>
      <c r="J16">
        <f>SUM( I16 / VLOOKUP(A16, BaseUP!A:H, 8, FALSE)*100)</f>
        <v>104.72440944881889</v>
      </c>
      <c r="K16">
        <f t="shared" si="2"/>
        <v>7.518796992481203</v>
      </c>
      <c r="L16" t="s">
        <v>679</v>
      </c>
      <c r="M16" t="str">
        <f t="shared" si="3"/>
        <v>Pass</v>
      </c>
    </row>
    <row r="17" spans="1:13" ht="324" x14ac:dyDescent="0.25">
      <c r="A17">
        <v>8</v>
      </c>
      <c r="B17" t="s">
        <v>10</v>
      </c>
      <c r="C17" t="s">
        <v>13</v>
      </c>
      <c r="D17" s="1" t="s">
        <v>734</v>
      </c>
      <c r="E17">
        <f t="array" ref="E17">SUMPRODUCT(ISNUMBER(SEARCH(AgenticDict, D17))*1)</f>
        <v>2</v>
      </c>
      <c r="F17">
        <f t="array" ref="F17">SUMPRODUCT(ISNUMBER(SEARCH(CommunalDict, D17))*1)</f>
        <v>7</v>
      </c>
      <c r="G17">
        <f t="array" ref="G17">SUMPRODUCT(ISNUMBER(SEARCH(NeutralDict, D17))*1)</f>
        <v>11</v>
      </c>
      <c r="H17">
        <f t="shared" si="0"/>
        <v>0</v>
      </c>
      <c r="I17">
        <f t="shared" si="1"/>
        <v>135</v>
      </c>
      <c r="J17">
        <f>SUM( I17 / VLOOKUP(A17, BaseUP!A:H, 8, FALSE)*100)</f>
        <v>106.29921259842521</v>
      </c>
      <c r="K17">
        <f t="shared" si="2"/>
        <v>5.1851851851851851</v>
      </c>
      <c r="L17" t="s">
        <v>679</v>
      </c>
      <c r="M17" t="str">
        <f t="shared" si="3"/>
        <v>Pass</v>
      </c>
    </row>
    <row r="18" spans="1:13" ht="342" x14ac:dyDescent="0.25">
      <c r="A18">
        <v>9</v>
      </c>
      <c r="B18" t="s">
        <v>10</v>
      </c>
      <c r="C18" t="s">
        <v>11</v>
      </c>
      <c r="D18" s="1" t="s">
        <v>1073</v>
      </c>
      <c r="E18">
        <f t="array" ref="E18">SUMPRODUCT(ISNUMBER(SEARCH(AgenticDict, D18))*1)</f>
        <v>10</v>
      </c>
      <c r="F18">
        <f t="array" ref="F18">SUMPRODUCT(ISNUMBER(SEARCH(CommunalDict, D18))*1)</f>
        <v>3</v>
      </c>
      <c r="G18">
        <f t="array" ref="G18">SUMPRODUCT(ISNUMBER(SEARCH(NeutralDict, D18))*1)</f>
        <v>14</v>
      </c>
      <c r="H18">
        <f t="shared" si="0"/>
        <v>0</v>
      </c>
      <c r="I18">
        <f t="shared" si="1"/>
        <v>149</v>
      </c>
      <c r="J18">
        <f>SUM( I18 / VLOOKUP(A18, BaseUP!A:H, 8, FALSE)*100)</f>
        <v>107.19424460431655</v>
      </c>
      <c r="K18">
        <f t="shared" si="2"/>
        <v>6.7114093959731544</v>
      </c>
      <c r="L18" t="s">
        <v>679</v>
      </c>
      <c r="M18" t="str">
        <f t="shared" si="3"/>
        <v>Pass</v>
      </c>
    </row>
    <row r="19" spans="1:13" ht="342" x14ac:dyDescent="0.25">
      <c r="A19">
        <v>9</v>
      </c>
      <c r="B19" t="s">
        <v>10</v>
      </c>
      <c r="C19" t="s">
        <v>13</v>
      </c>
      <c r="D19" s="1" t="s">
        <v>482</v>
      </c>
      <c r="E19">
        <f t="array" ref="E19">SUMPRODUCT(ISNUMBER(SEARCH(AgenticDict, D19))*1)</f>
        <v>1</v>
      </c>
      <c r="F19">
        <f t="array" ref="F19">SUMPRODUCT(ISNUMBER(SEARCH(CommunalDict, D19))*1)</f>
        <v>10</v>
      </c>
      <c r="G19">
        <f t="array" ref="G19">SUMPRODUCT(ISNUMBER(SEARCH(NeutralDict, D19))*1)</f>
        <v>13</v>
      </c>
      <c r="H19">
        <f t="shared" si="0"/>
        <v>0</v>
      </c>
      <c r="I19">
        <f t="shared" si="1"/>
        <v>146</v>
      </c>
      <c r="J19">
        <f>SUM( I19 / VLOOKUP(A19, BaseUP!A:H, 8, FALSE)*100)</f>
        <v>105.03597122302158</v>
      </c>
      <c r="K19">
        <f t="shared" si="2"/>
        <v>6.8493150684931505</v>
      </c>
      <c r="L19" t="s">
        <v>679</v>
      </c>
      <c r="M19" t="str">
        <f t="shared" si="3"/>
        <v>Pass</v>
      </c>
    </row>
    <row r="20" spans="1:13" ht="342" x14ac:dyDescent="0.25">
      <c r="A20">
        <v>10</v>
      </c>
      <c r="B20" t="s">
        <v>10</v>
      </c>
      <c r="C20" t="s">
        <v>11</v>
      </c>
      <c r="D20" s="1" t="s">
        <v>735</v>
      </c>
      <c r="E20">
        <f t="array" ref="E20">SUMPRODUCT(ISNUMBER(SEARCH(AgenticDict, D20))*1)</f>
        <v>9</v>
      </c>
      <c r="F20">
        <f t="array" ref="F20">SUMPRODUCT(ISNUMBER(SEARCH(CommunalDict, D20))*1)</f>
        <v>6</v>
      </c>
      <c r="G20">
        <f t="array" ref="G20">SUMPRODUCT(ISNUMBER(SEARCH(NeutralDict, D20))*1)</f>
        <v>13</v>
      </c>
      <c r="H20">
        <f t="shared" si="0"/>
        <v>0</v>
      </c>
      <c r="I20">
        <f t="shared" si="1"/>
        <v>143</v>
      </c>
      <c r="J20">
        <f>SUM( I20 / VLOOKUP(A20, BaseUP!A:H, 8, FALSE)*100)</f>
        <v>107.51879699248121</v>
      </c>
      <c r="K20">
        <f t="shared" si="2"/>
        <v>6.2937062937062942</v>
      </c>
      <c r="L20" t="s">
        <v>679</v>
      </c>
      <c r="M20" t="str">
        <f t="shared" si="3"/>
        <v>Pass</v>
      </c>
    </row>
    <row r="21" spans="1:13" ht="324" x14ac:dyDescent="0.25">
      <c r="A21">
        <v>10</v>
      </c>
      <c r="B21" t="s">
        <v>10</v>
      </c>
      <c r="C21" t="s">
        <v>13</v>
      </c>
      <c r="D21" s="1" t="s">
        <v>483</v>
      </c>
      <c r="E21">
        <f t="array" ref="E21">SUMPRODUCT(ISNUMBER(SEARCH(AgenticDict, D21))*1)</f>
        <v>0</v>
      </c>
      <c r="F21">
        <f t="array" ref="F21">SUMPRODUCT(ISNUMBER(SEARCH(CommunalDict, D21))*1)</f>
        <v>10</v>
      </c>
      <c r="G21">
        <f t="array" ref="G21">SUMPRODUCT(ISNUMBER(SEARCH(NeutralDict, D21))*1)</f>
        <v>14</v>
      </c>
      <c r="H21">
        <f t="shared" si="0"/>
        <v>0</v>
      </c>
      <c r="I21">
        <f t="shared" si="1"/>
        <v>139</v>
      </c>
      <c r="J21">
        <f>SUM( I21 / VLOOKUP(A21, BaseUP!A:H, 8, FALSE)*100)</f>
        <v>104.51127819548873</v>
      </c>
      <c r="K21">
        <f t="shared" si="2"/>
        <v>7.1942446043165464</v>
      </c>
      <c r="L21" t="s">
        <v>679</v>
      </c>
      <c r="M21" t="str">
        <f t="shared" si="3"/>
        <v>Pass</v>
      </c>
    </row>
    <row r="22" spans="1:13" ht="378" x14ac:dyDescent="0.25">
      <c r="A22">
        <v>11</v>
      </c>
      <c r="B22" t="s">
        <v>10</v>
      </c>
      <c r="C22" t="s">
        <v>11</v>
      </c>
      <c r="D22" s="1" t="s">
        <v>21</v>
      </c>
      <c r="E22">
        <f t="array" ref="E22">SUMPRODUCT(ISNUMBER(SEARCH(AgenticDict, D22))*1)</f>
        <v>11</v>
      </c>
      <c r="F22">
        <f t="array" ref="F22">SUMPRODUCT(ISNUMBER(SEARCH(CommunalDict, D22))*1)</f>
        <v>3</v>
      </c>
      <c r="G22">
        <f t="array" ref="G22">SUMPRODUCT(ISNUMBER(SEARCH(NeutralDict, D22))*1)</f>
        <v>13</v>
      </c>
      <c r="H22">
        <f t="shared" si="0"/>
        <v>0</v>
      </c>
      <c r="I22">
        <f t="shared" si="1"/>
        <v>154</v>
      </c>
      <c r="J22">
        <f>SUM( I22 / VLOOKUP(A22, BaseUP!A:H, 8, FALSE)*100)</f>
        <v>103.35570469798658</v>
      </c>
      <c r="K22">
        <f t="shared" si="2"/>
        <v>7.1428571428571423</v>
      </c>
      <c r="L22" t="s">
        <v>679</v>
      </c>
      <c r="M22" t="str">
        <f t="shared" si="3"/>
        <v>Pass</v>
      </c>
    </row>
    <row r="23" spans="1:13" ht="378" x14ac:dyDescent="0.25">
      <c r="A23">
        <v>11</v>
      </c>
      <c r="B23" t="s">
        <v>10</v>
      </c>
      <c r="C23" t="s">
        <v>13</v>
      </c>
      <c r="D23" s="1" t="s">
        <v>484</v>
      </c>
      <c r="E23">
        <f t="array" ref="E23">SUMPRODUCT(ISNUMBER(SEARCH(AgenticDict, D23))*1)</f>
        <v>1</v>
      </c>
      <c r="F23">
        <f t="array" ref="F23">SUMPRODUCT(ISNUMBER(SEARCH(CommunalDict, D23))*1)</f>
        <v>9</v>
      </c>
      <c r="G23">
        <f t="array" ref="G23">SUMPRODUCT(ISNUMBER(SEARCH(NeutralDict, D23))*1)</f>
        <v>14</v>
      </c>
      <c r="H23">
        <f t="shared" si="0"/>
        <v>0</v>
      </c>
      <c r="I23">
        <f t="shared" si="1"/>
        <v>151</v>
      </c>
      <c r="J23">
        <f>SUM( I23 / VLOOKUP(A23, BaseUP!A:H, 8, FALSE)*100)</f>
        <v>101.34228187919463</v>
      </c>
      <c r="K23">
        <f t="shared" si="2"/>
        <v>5.9602649006622519</v>
      </c>
      <c r="L23" t="s">
        <v>679</v>
      </c>
      <c r="M23" t="str">
        <f t="shared" si="3"/>
        <v>Pass</v>
      </c>
    </row>
    <row r="24" spans="1:13" ht="342" x14ac:dyDescent="0.25">
      <c r="A24">
        <v>12</v>
      </c>
      <c r="B24" t="s">
        <v>10</v>
      </c>
      <c r="C24" t="s">
        <v>11</v>
      </c>
      <c r="D24" s="1" t="s">
        <v>485</v>
      </c>
      <c r="E24">
        <f t="array" ref="E24">SUMPRODUCT(ISNUMBER(SEARCH(AgenticDict, D24))*1)</f>
        <v>12</v>
      </c>
      <c r="F24">
        <f t="array" ref="F24">SUMPRODUCT(ISNUMBER(SEARCH(CommunalDict, D24))*1)</f>
        <v>2</v>
      </c>
      <c r="G24">
        <f t="array" ref="G24">SUMPRODUCT(ISNUMBER(SEARCH(NeutralDict, D24))*1)</f>
        <v>12</v>
      </c>
      <c r="H24">
        <f t="shared" si="0"/>
        <v>0</v>
      </c>
      <c r="I24">
        <f t="shared" si="1"/>
        <v>155</v>
      </c>
      <c r="J24">
        <f>SUM( I24 / VLOOKUP(A24, BaseUP!A:H, 8, FALSE)*100)</f>
        <v>104.02684563758389</v>
      </c>
      <c r="K24">
        <f t="shared" si="2"/>
        <v>7.741935483870968</v>
      </c>
      <c r="L24" t="s">
        <v>679</v>
      </c>
      <c r="M24" t="str">
        <f t="shared" si="3"/>
        <v>Pass</v>
      </c>
    </row>
    <row r="25" spans="1:13" ht="360" x14ac:dyDescent="0.25">
      <c r="A25">
        <v>12</v>
      </c>
      <c r="B25" t="s">
        <v>10</v>
      </c>
      <c r="C25" t="s">
        <v>13</v>
      </c>
      <c r="D25" s="1" t="s">
        <v>486</v>
      </c>
      <c r="E25">
        <f t="array" ref="E25">SUMPRODUCT(ISNUMBER(SEARCH(AgenticDict, D25))*1)</f>
        <v>1</v>
      </c>
      <c r="F25">
        <f t="array" ref="F25">SUMPRODUCT(ISNUMBER(SEARCH(CommunalDict, D25))*1)</f>
        <v>10</v>
      </c>
      <c r="G25">
        <f t="array" ref="G25">SUMPRODUCT(ISNUMBER(SEARCH(NeutralDict, D25))*1)</f>
        <v>13</v>
      </c>
      <c r="H25">
        <f t="shared" si="0"/>
        <v>0</v>
      </c>
      <c r="I25">
        <f t="shared" si="1"/>
        <v>156</v>
      </c>
      <c r="J25">
        <f>SUM( I25 / VLOOKUP(A25, BaseUP!A:H, 8, FALSE)*100)</f>
        <v>104.69798657718121</v>
      </c>
      <c r="K25">
        <f t="shared" si="2"/>
        <v>6.4102564102564097</v>
      </c>
      <c r="L25" t="s">
        <v>679</v>
      </c>
      <c r="M25" t="str">
        <f t="shared" si="3"/>
        <v>Pass</v>
      </c>
    </row>
    <row r="26" spans="1:13" ht="324" x14ac:dyDescent="0.25">
      <c r="A26">
        <v>13</v>
      </c>
      <c r="B26" t="s">
        <v>10</v>
      </c>
      <c r="C26" t="s">
        <v>11</v>
      </c>
      <c r="D26" s="1" t="s">
        <v>487</v>
      </c>
      <c r="E26">
        <f t="array" ref="E26">SUMPRODUCT(ISNUMBER(SEARCH(AgenticDict, D26))*1)</f>
        <v>11</v>
      </c>
      <c r="F26">
        <f t="array" ref="F26">SUMPRODUCT(ISNUMBER(SEARCH(CommunalDict, D26))*1)</f>
        <v>2</v>
      </c>
      <c r="G26">
        <f t="array" ref="G26">SUMPRODUCT(ISNUMBER(SEARCH(NeutralDict, D26))*1)</f>
        <v>14</v>
      </c>
      <c r="H26">
        <f t="shared" si="0"/>
        <v>0</v>
      </c>
      <c r="I26">
        <f t="shared" si="1"/>
        <v>140</v>
      </c>
      <c r="J26">
        <f>SUM( I26 / VLOOKUP(A26, BaseUP!A:H, 8, FALSE)*100)</f>
        <v>105.26315789473684</v>
      </c>
      <c r="K26">
        <f t="shared" si="2"/>
        <v>7.8571428571428568</v>
      </c>
      <c r="L26" t="s">
        <v>679</v>
      </c>
      <c r="M26" t="str">
        <f t="shared" si="3"/>
        <v>Pass</v>
      </c>
    </row>
    <row r="27" spans="1:13" ht="324" x14ac:dyDescent="0.25">
      <c r="A27">
        <v>13</v>
      </c>
      <c r="B27" t="s">
        <v>10</v>
      </c>
      <c r="C27" t="s">
        <v>13</v>
      </c>
      <c r="D27" s="1" t="s">
        <v>714</v>
      </c>
      <c r="E27">
        <f t="array" ref="E27">SUMPRODUCT(ISNUMBER(SEARCH(AgenticDict, D27))*1)</f>
        <v>0</v>
      </c>
      <c r="F27">
        <f t="array" ref="F27">SUMPRODUCT(ISNUMBER(SEARCH(CommunalDict, D27))*1)</f>
        <v>8</v>
      </c>
      <c r="G27">
        <f t="array" ref="G27">SUMPRODUCT(ISNUMBER(SEARCH(NeutralDict, D27))*1)</f>
        <v>15</v>
      </c>
      <c r="H27">
        <f t="shared" si="0"/>
        <v>0</v>
      </c>
      <c r="I27">
        <f t="shared" si="1"/>
        <v>138</v>
      </c>
      <c r="J27">
        <f>SUM( I27 / VLOOKUP(A27, BaseUP!A:H, 8, FALSE)*100)</f>
        <v>103.75939849624061</v>
      </c>
      <c r="K27">
        <f t="shared" si="2"/>
        <v>5.7971014492753623</v>
      </c>
      <c r="L27" t="s">
        <v>679</v>
      </c>
      <c r="M27" t="str">
        <f t="shared" si="3"/>
        <v>Pass</v>
      </c>
    </row>
    <row r="28" spans="1:13" ht="324" x14ac:dyDescent="0.25">
      <c r="A28">
        <v>14</v>
      </c>
      <c r="B28" t="s">
        <v>10</v>
      </c>
      <c r="C28" t="s">
        <v>11</v>
      </c>
      <c r="D28" s="1" t="s">
        <v>488</v>
      </c>
      <c r="E28">
        <f t="array" ref="E28">SUMPRODUCT(ISNUMBER(SEARCH(AgenticDict, D28))*1)</f>
        <v>11</v>
      </c>
      <c r="F28">
        <f t="array" ref="F28">SUMPRODUCT(ISNUMBER(SEARCH(CommunalDict, D28))*1)</f>
        <v>4</v>
      </c>
      <c r="G28">
        <f t="array" ref="G28">SUMPRODUCT(ISNUMBER(SEARCH(NeutralDict, D28))*1)</f>
        <v>12</v>
      </c>
      <c r="H28">
        <f t="shared" si="0"/>
        <v>0</v>
      </c>
      <c r="I28">
        <f t="shared" si="1"/>
        <v>139</v>
      </c>
      <c r="J28">
        <f>SUM( I28 / VLOOKUP(A28, BaseUP!A:H, 8, FALSE)*100)</f>
        <v>105.3030303030303</v>
      </c>
      <c r="K28">
        <f t="shared" si="2"/>
        <v>7.9136690647482011</v>
      </c>
      <c r="L28" t="s">
        <v>679</v>
      </c>
      <c r="M28" t="str">
        <f t="shared" si="3"/>
        <v>Pass</v>
      </c>
    </row>
    <row r="29" spans="1:13" ht="342" x14ac:dyDescent="0.25">
      <c r="A29">
        <v>14</v>
      </c>
      <c r="B29" t="s">
        <v>10</v>
      </c>
      <c r="C29" t="s">
        <v>13</v>
      </c>
      <c r="D29" s="1" t="s">
        <v>489</v>
      </c>
      <c r="E29">
        <f t="array" ref="E29">SUMPRODUCT(ISNUMBER(SEARCH(AgenticDict, D29))*1)</f>
        <v>1</v>
      </c>
      <c r="F29">
        <f t="array" ref="F29">SUMPRODUCT(ISNUMBER(SEARCH(CommunalDict, D29))*1)</f>
        <v>10</v>
      </c>
      <c r="G29">
        <f t="array" ref="G29">SUMPRODUCT(ISNUMBER(SEARCH(NeutralDict, D29))*1)</f>
        <v>13</v>
      </c>
      <c r="H29">
        <f t="shared" si="0"/>
        <v>0</v>
      </c>
      <c r="I29">
        <f t="shared" si="1"/>
        <v>144</v>
      </c>
      <c r="J29">
        <f>SUM( I29 / VLOOKUP(A29, BaseUP!A:H, 8, FALSE)*100)</f>
        <v>109.09090909090908</v>
      </c>
      <c r="K29">
        <f t="shared" si="2"/>
        <v>6.9444444444444446</v>
      </c>
      <c r="L29" t="s">
        <v>679</v>
      </c>
      <c r="M29" t="str">
        <f t="shared" si="3"/>
        <v>Pass</v>
      </c>
    </row>
    <row r="30" spans="1:13" ht="324" x14ac:dyDescent="0.25">
      <c r="A30">
        <v>15</v>
      </c>
      <c r="B30" t="s">
        <v>10</v>
      </c>
      <c r="C30" t="s">
        <v>11</v>
      </c>
      <c r="D30" s="1" t="s">
        <v>715</v>
      </c>
      <c r="E30">
        <f t="array" ref="E30">SUMPRODUCT(ISNUMBER(SEARCH(AgenticDict, D30))*1)</f>
        <v>11</v>
      </c>
      <c r="F30">
        <f t="array" ref="F30">SUMPRODUCT(ISNUMBER(SEARCH(CommunalDict, D30))*1)</f>
        <v>1</v>
      </c>
      <c r="G30">
        <f t="array" ref="G30">SUMPRODUCT(ISNUMBER(SEARCH(NeutralDict, D30))*1)</f>
        <v>10</v>
      </c>
      <c r="H30">
        <f t="shared" si="0"/>
        <v>0</v>
      </c>
      <c r="I30">
        <f t="shared" si="1"/>
        <v>139</v>
      </c>
      <c r="J30">
        <f>SUM( I30 / VLOOKUP(A30, BaseUP!A:H, 8, FALSE)*100)</f>
        <v>99.285714285714292</v>
      </c>
      <c r="K30">
        <f t="shared" si="2"/>
        <v>7.9136690647482011</v>
      </c>
      <c r="L30" t="s">
        <v>679</v>
      </c>
      <c r="M30" t="str">
        <f t="shared" si="3"/>
        <v>Pass</v>
      </c>
    </row>
    <row r="31" spans="1:13" ht="324" x14ac:dyDescent="0.25">
      <c r="A31">
        <v>15</v>
      </c>
      <c r="B31" t="s">
        <v>10</v>
      </c>
      <c r="C31" t="s">
        <v>13</v>
      </c>
      <c r="D31" s="1" t="s">
        <v>716</v>
      </c>
      <c r="E31">
        <f t="array" ref="E31">SUMPRODUCT(ISNUMBER(SEARCH(AgenticDict, D31))*1)</f>
        <v>1</v>
      </c>
      <c r="F31">
        <f t="array" ref="F31">SUMPRODUCT(ISNUMBER(SEARCH(CommunalDict, D31))*1)</f>
        <v>7</v>
      </c>
      <c r="G31">
        <f t="array" ref="G31">SUMPRODUCT(ISNUMBER(SEARCH(NeutralDict, D31))*1)</f>
        <v>12</v>
      </c>
      <c r="H31">
        <f t="shared" si="0"/>
        <v>0</v>
      </c>
      <c r="I31">
        <f t="shared" si="1"/>
        <v>140</v>
      </c>
      <c r="J31">
        <f>SUM( I31 / VLOOKUP(A31, BaseUP!A:H, 8, FALSE)*100)</f>
        <v>100</v>
      </c>
      <c r="K31">
        <f t="shared" si="2"/>
        <v>5</v>
      </c>
      <c r="L31" t="s">
        <v>679</v>
      </c>
      <c r="M31" t="str">
        <f t="shared" si="3"/>
        <v>Pass</v>
      </c>
    </row>
    <row r="32" spans="1:13" ht="324" x14ac:dyDescent="0.25">
      <c r="A32">
        <v>16</v>
      </c>
      <c r="B32" t="s">
        <v>10</v>
      </c>
      <c r="C32" t="s">
        <v>11</v>
      </c>
      <c r="D32" s="1" t="s">
        <v>490</v>
      </c>
      <c r="E32">
        <f t="array" ref="E32">SUMPRODUCT(ISNUMBER(SEARCH(AgenticDict, D32))*1)</f>
        <v>10</v>
      </c>
      <c r="F32">
        <f t="array" ref="F32">SUMPRODUCT(ISNUMBER(SEARCH(CommunalDict, D32))*1)</f>
        <v>3</v>
      </c>
      <c r="G32">
        <f t="array" ref="G32">SUMPRODUCT(ISNUMBER(SEARCH(NeutralDict, D32))*1)</f>
        <v>15</v>
      </c>
      <c r="H32">
        <f t="shared" si="0"/>
        <v>0</v>
      </c>
      <c r="I32">
        <f t="shared" si="1"/>
        <v>147</v>
      </c>
      <c r="J32">
        <f>SUM( I32 / VLOOKUP(A32, BaseUP!A:H, 8, FALSE)*100)</f>
        <v>104.25531914893618</v>
      </c>
      <c r="K32">
        <f t="shared" si="2"/>
        <v>6.8027210884353746</v>
      </c>
      <c r="L32" t="s">
        <v>679</v>
      </c>
      <c r="M32" t="str">
        <f t="shared" si="3"/>
        <v>Pass</v>
      </c>
    </row>
    <row r="33" spans="1:13" ht="342" x14ac:dyDescent="0.25">
      <c r="A33">
        <v>16</v>
      </c>
      <c r="B33" t="s">
        <v>10</v>
      </c>
      <c r="C33" t="s">
        <v>13</v>
      </c>
      <c r="D33" s="1" t="s">
        <v>1095</v>
      </c>
      <c r="E33">
        <f t="array" ref="E33">SUMPRODUCT(ISNUMBER(SEARCH(AgenticDict, D33))*1)</f>
        <v>2</v>
      </c>
      <c r="F33">
        <f t="array" ref="F33">SUMPRODUCT(ISNUMBER(SEARCH(CommunalDict, D33))*1)</f>
        <v>10</v>
      </c>
      <c r="G33">
        <f t="array" ref="G33">SUMPRODUCT(ISNUMBER(SEARCH(NeutralDict, D33))*1)</f>
        <v>13</v>
      </c>
      <c r="H33">
        <f t="shared" si="0"/>
        <v>0</v>
      </c>
      <c r="I33">
        <f t="shared" si="1"/>
        <v>151</v>
      </c>
      <c r="J33">
        <f>SUM( I33 / VLOOKUP(A33, BaseUP!A:H, 8, FALSE)*100)</f>
        <v>107.0921985815603</v>
      </c>
      <c r="K33">
        <f t="shared" si="2"/>
        <v>6.6225165562913908</v>
      </c>
      <c r="L33" t="s">
        <v>679</v>
      </c>
      <c r="M33" t="str">
        <f t="shared" si="3"/>
        <v>Pass</v>
      </c>
    </row>
    <row r="34" spans="1:13" ht="342" x14ac:dyDescent="0.25">
      <c r="A34">
        <v>17</v>
      </c>
      <c r="B34" t="s">
        <v>10</v>
      </c>
      <c r="C34" t="s">
        <v>11</v>
      </c>
      <c r="D34" s="1" t="s">
        <v>491</v>
      </c>
      <c r="E34">
        <f t="array" ref="E34">SUMPRODUCT(ISNUMBER(SEARCH(AgenticDict, D34))*1)</f>
        <v>10</v>
      </c>
      <c r="F34">
        <f t="array" ref="F34">SUMPRODUCT(ISNUMBER(SEARCH(CommunalDict, D34))*1)</f>
        <v>3</v>
      </c>
      <c r="G34">
        <f t="array" ref="G34">SUMPRODUCT(ISNUMBER(SEARCH(NeutralDict, D34))*1)</f>
        <v>14</v>
      </c>
      <c r="H34">
        <f t="shared" si="0"/>
        <v>0</v>
      </c>
      <c r="I34">
        <f t="shared" si="1"/>
        <v>142</v>
      </c>
      <c r="J34">
        <f>SUM( I34 / VLOOKUP(A34, BaseUP!A:H, 8, FALSE)*100)</f>
        <v>104.41176470588236</v>
      </c>
      <c r="K34">
        <f t="shared" si="2"/>
        <v>7.042253521126761</v>
      </c>
      <c r="L34" t="s">
        <v>679</v>
      </c>
      <c r="M34" t="str">
        <f t="shared" si="3"/>
        <v>Pass</v>
      </c>
    </row>
    <row r="35" spans="1:13" ht="360" x14ac:dyDescent="0.25">
      <c r="A35">
        <v>17</v>
      </c>
      <c r="B35" t="s">
        <v>10</v>
      </c>
      <c r="C35" t="s">
        <v>13</v>
      </c>
      <c r="D35" s="1" t="s">
        <v>492</v>
      </c>
      <c r="E35">
        <f t="array" ref="E35">SUMPRODUCT(ISNUMBER(SEARCH(AgenticDict, D35))*1)</f>
        <v>2</v>
      </c>
      <c r="F35">
        <f t="array" ref="F35">SUMPRODUCT(ISNUMBER(SEARCH(CommunalDict, D35))*1)</f>
        <v>9</v>
      </c>
      <c r="G35">
        <f t="array" ref="G35">SUMPRODUCT(ISNUMBER(SEARCH(NeutralDict, D35))*1)</f>
        <v>14</v>
      </c>
      <c r="H35">
        <f t="shared" si="0"/>
        <v>0</v>
      </c>
      <c r="I35">
        <f t="shared" si="1"/>
        <v>143</v>
      </c>
      <c r="J35">
        <f>SUM( I35 / VLOOKUP(A35, BaseUP!A:H, 8, FALSE)*100)</f>
        <v>105.14705882352942</v>
      </c>
      <c r="K35">
        <f t="shared" si="2"/>
        <v>6.2937062937062942</v>
      </c>
      <c r="L35" t="s">
        <v>679</v>
      </c>
      <c r="M35" t="str">
        <f t="shared" si="3"/>
        <v>Pass</v>
      </c>
    </row>
    <row r="36" spans="1:13" ht="360" x14ac:dyDescent="0.25">
      <c r="A36">
        <v>18</v>
      </c>
      <c r="B36" t="s">
        <v>10</v>
      </c>
      <c r="C36" t="s">
        <v>11</v>
      </c>
      <c r="D36" s="1" t="s">
        <v>493</v>
      </c>
      <c r="E36">
        <f t="array" ref="E36">SUMPRODUCT(ISNUMBER(SEARCH(AgenticDict, D36))*1)</f>
        <v>10</v>
      </c>
      <c r="F36">
        <f t="array" ref="F36">SUMPRODUCT(ISNUMBER(SEARCH(CommunalDict, D36))*1)</f>
        <v>3</v>
      </c>
      <c r="G36">
        <f t="array" ref="G36">SUMPRODUCT(ISNUMBER(SEARCH(NeutralDict, D36))*1)</f>
        <v>18</v>
      </c>
      <c r="H36">
        <f t="shared" si="0"/>
        <v>0</v>
      </c>
      <c r="I36">
        <f t="shared" si="1"/>
        <v>152</v>
      </c>
      <c r="J36">
        <f>SUM( I36 / VLOOKUP(A36, BaseUP!A:H, 8, FALSE)*100)</f>
        <v>98.701298701298697</v>
      </c>
      <c r="K36">
        <f t="shared" si="2"/>
        <v>6.5789473684210522</v>
      </c>
      <c r="L36" t="s">
        <v>679</v>
      </c>
      <c r="M36" t="str">
        <f t="shared" si="3"/>
        <v>Pass</v>
      </c>
    </row>
    <row r="37" spans="1:13" ht="360" x14ac:dyDescent="0.25">
      <c r="A37">
        <v>18</v>
      </c>
      <c r="B37" t="s">
        <v>10</v>
      </c>
      <c r="C37" t="s">
        <v>13</v>
      </c>
      <c r="D37" s="1" t="s">
        <v>494</v>
      </c>
      <c r="E37">
        <f t="array" ref="E37">SUMPRODUCT(ISNUMBER(SEARCH(AgenticDict, D37))*1)</f>
        <v>1</v>
      </c>
      <c r="F37">
        <f t="array" ref="F37">SUMPRODUCT(ISNUMBER(SEARCH(CommunalDict, D37))*1)</f>
        <v>13</v>
      </c>
      <c r="G37">
        <f t="array" ref="G37">SUMPRODUCT(ISNUMBER(SEARCH(NeutralDict, D37))*1)</f>
        <v>18</v>
      </c>
      <c r="H37">
        <f t="shared" si="0"/>
        <v>0</v>
      </c>
      <c r="I37">
        <f t="shared" si="1"/>
        <v>158</v>
      </c>
      <c r="J37">
        <f>SUM( I37 / VLOOKUP(A37, BaseUP!A:H, 8, FALSE)*100)</f>
        <v>102.59740259740259</v>
      </c>
      <c r="K37">
        <f t="shared" si="2"/>
        <v>8.2278481012658222</v>
      </c>
      <c r="L37" t="s">
        <v>679</v>
      </c>
      <c r="M37" t="str">
        <f t="shared" si="3"/>
        <v>Pass</v>
      </c>
    </row>
    <row r="38" spans="1:13" ht="342" x14ac:dyDescent="0.25">
      <c r="A38">
        <v>19</v>
      </c>
      <c r="B38" t="s">
        <v>10</v>
      </c>
      <c r="C38" t="s">
        <v>11</v>
      </c>
      <c r="D38" s="1" t="s">
        <v>712</v>
      </c>
      <c r="E38">
        <f t="array" ref="E38">SUMPRODUCT(ISNUMBER(SEARCH(AgenticDict, D38))*1)</f>
        <v>13</v>
      </c>
      <c r="F38">
        <f t="array" ref="F38">SUMPRODUCT(ISNUMBER(SEARCH(CommunalDict, D38))*1)</f>
        <v>2</v>
      </c>
      <c r="G38">
        <f t="array" ref="G38">SUMPRODUCT(ISNUMBER(SEARCH(NeutralDict, D38))*1)</f>
        <v>10</v>
      </c>
      <c r="H38">
        <f t="shared" si="0"/>
        <v>0</v>
      </c>
      <c r="I38">
        <f t="shared" si="1"/>
        <v>152</v>
      </c>
      <c r="J38">
        <f>SUM( I38 / VLOOKUP(A38, BaseUP!A:H, 8, FALSE)*100)</f>
        <v>102.70270270270269</v>
      </c>
      <c r="K38">
        <f t="shared" si="2"/>
        <v>8.5526315789473681</v>
      </c>
      <c r="L38" t="s">
        <v>679</v>
      </c>
      <c r="M38" t="str">
        <f t="shared" si="3"/>
        <v>Pass</v>
      </c>
    </row>
    <row r="39" spans="1:13" ht="342" x14ac:dyDescent="0.25">
      <c r="A39">
        <v>19</v>
      </c>
      <c r="B39" t="s">
        <v>10</v>
      </c>
      <c r="C39" t="s">
        <v>13</v>
      </c>
      <c r="D39" s="1" t="s">
        <v>717</v>
      </c>
      <c r="E39">
        <f t="array" ref="E39">SUMPRODUCT(ISNUMBER(SEARCH(AgenticDict, D39))*1)</f>
        <v>2</v>
      </c>
      <c r="F39">
        <f t="array" ref="F39">SUMPRODUCT(ISNUMBER(SEARCH(CommunalDict, D39))*1)</f>
        <v>8</v>
      </c>
      <c r="G39">
        <f t="array" ref="G39">SUMPRODUCT(ISNUMBER(SEARCH(NeutralDict, D39))*1)</f>
        <v>11</v>
      </c>
      <c r="H39">
        <f t="shared" si="0"/>
        <v>0</v>
      </c>
      <c r="I39">
        <f t="shared" si="1"/>
        <v>155</v>
      </c>
      <c r="J39">
        <f>SUM( I39 / VLOOKUP(A39, BaseUP!A:H, 8, FALSE)*100)</f>
        <v>104.72972972972974</v>
      </c>
      <c r="K39">
        <f t="shared" si="2"/>
        <v>5.161290322580645</v>
      </c>
      <c r="L39" t="s">
        <v>679</v>
      </c>
      <c r="M39" t="str">
        <f t="shared" si="3"/>
        <v>Pass</v>
      </c>
    </row>
    <row r="40" spans="1:13" ht="324" x14ac:dyDescent="0.25">
      <c r="A40">
        <v>20</v>
      </c>
      <c r="B40" t="s">
        <v>10</v>
      </c>
      <c r="C40" t="s">
        <v>11</v>
      </c>
      <c r="D40" s="1" t="s">
        <v>495</v>
      </c>
      <c r="E40">
        <f t="array" ref="E40">SUMPRODUCT(ISNUMBER(SEARCH(AgenticDict, D40))*1)</f>
        <v>10</v>
      </c>
      <c r="F40">
        <f t="array" ref="F40">SUMPRODUCT(ISNUMBER(SEARCH(CommunalDict, D40))*1)</f>
        <v>2</v>
      </c>
      <c r="G40">
        <f t="array" ref="G40">SUMPRODUCT(ISNUMBER(SEARCH(NeutralDict, D40))*1)</f>
        <v>15</v>
      </c>
      <c r="H40">
        <f t="shared" si="0"/>
        <v>0</v>
      </c>
      <c r="I40">
        <f t="shared" si="1"/>
        <v>141</v>
      </c>
      <c r="J40">
        <f>SUM( I40 / VLOOKUP(A40, BaseUP!A:H, 8, FALSE)*100)</f>
        <v>103.6764705882353</v>
      </c>
      <c r="K40">
        <f t="shared" si="2"/>
        <v>7.0921985815602842</v>
      </c>
      <c r="L40" t="s">
        <v>679</v>
      </c>
      <c r="M40" t="str">
        <f t="shared" si="3"/>
        <v>Pass</v>
      </c>
    </row>
    <row r="41" spans="1:13" ht="324" x14ac:dyDescent="0.25">
      <c r="A41">
        <v>20</v>
      </c>
      <c r="B41" t="s">
        <v>10</v>
      </c>
      <c r="C41" t="s">
        <v>13</v>
      </c>
      <c r="D41" s="1" t="s">
        <v>496</v>
      </c>
      <c r="E41">
        <f t="array" ref="E41">SUMPRODUCT(ISNUMBER(SEARCH(AgenticDict, D41))*1)</f>
        <v>1</v>
      </c>
      <c r="F41">
        <f t="array" ref="F41">SUMPRODUCT(ISNUMBER(SEARCH(CommunalDict, D41))*1)</f>
        <v>9</v>
      </c>
      <c r="G41">
        <f t="array" ref="G41">SUMPRODUCT(ISNUMBER(SEARCH(NeutralDict, D41))*1)</f>
        <v>16</v>
      </c>
      <c r="H41">
        <f t="shared" si="0"/>
        <v>0</v>
      </c>
      <c r="I41">
        <f t="shared" si="1"/>
        <v>143</v>
      </c>
      <c r="J41">
        <f>SUM( I41 / VLOOKUP(A41, BaseUP!A:H, 8, FALSE)*100)</f>
        <v>105.14705882352942</v>
      </c>
      <c r="K41">
        <f t="shared" si="2"/>
        <v>6.2937062937062942</v>
      </c>
      <c r="L41" t="s">
        <v>679</v>
      </c>
      <c r="M41" t="str">
        <f t="shared" si="3"/>
        <v>Pass</v>
      </c>
    </row>
    <row r="42" spans="1:13" ht="360" x14ac:dyDescent="0.25">
      <c r="A42">
        <v>21</v>
      </c>
      <c r="B42" t="s">
        <v>10</v>
      </c>
      <c r="C42" t="s">
        <v>11</v>
      </c>
      <c r="D42" s="1" t="s">
        <v>41</v>
      </c>
      <c r="E42">
        <f t="array" ref="E42">SUMPRODUCT(ISNUMBER(SEARCH(AgenticDict, D42))*1)</f>
        <v>10</v>
      </c>
      <c r="F42">
        <f t="array" ref="F42">SUMPRODUCT(ISNUMBER(SEARCH(CommunalDict, D42))*1)</f>
        <v>2</v>
      </c>
      <c r="G42">
        <f t="array" ref="G42">SUMPRODUCT(ISNUMBER(SEARCH(NeutralDict, D42))*1)</f>
        <v>19</v>
      </c>
      <c r="H42">
        <f t="shared" si="0"/>
        <v>0</v>
      </c>
      <c r="I42">
        <f t="shared" si="1"/>
        <v>150</v>
      </c>
      <c r="J42">
        <f>SUM( I42 / VLOOKUP(A42, BaseUP!A:H, 8, FALSE)*100)</f>
        <v>105.63380281690141</v>
      </c>
      <c r="K42">
        <f t="shared" si="2"/>
        <v>6.666666666666667</v>
      </c>
      <c r="L42" t="s">
        <v>679</v>
      </c>
      <c r="M42" t="str">
        <f t="shared" si="3"/>
        <v>Pass</v>
      </c>
    </row>
    <row r="43" spans="1:13" ht="360" x14ac:dyDescent="0.25">
      <c r="A43">
        <v>21</v>
      </c>
      <c r="B43" t="s">
        <v>10</v>
      </c>
      <c r="C43" t="s">
        <v>13</v>
      </c>
      <c r="D43" s="1" t="s">
        <v>497</v>
      </c>
      <c r="E43">
        <f t="array" ref="E43">SUMPRODUCT(ISNUMBER(SEARCH(AgenticDict, D43))*1)</f>
        <v>1</v>
      </c>
      <c r="F43">
        <f t="array" ref="F43">SUMPRODUCT(ISNUMBER(SEARCH(CommunalDict, D43))*1)</f>
        <v>9</v>
      </c>
      <c r="G43">
        <f t="array" ref="G43">SUMPRODUCT(ISNUMBER(SEARCH(NeutralDict, D43))*1)</f>
        <v>19</v>
      </c>
      <c r="H43">
        <f t="shared" si="0"/>
        <v>0</v>
      </c>
      <c r="I43">
        <f t="shared" si="1"/>
        <v>153</v>
      </c>
      <c r="J43">
        <f>SUM( I43 / VLOOKUP(A43, BaseUP!A:H, 8, FALSE)*100)</f>
        <v>107.74647887323943</v>
      </c>
      <c r="K43">
        <f t="shared" si="2"/>
        <v>5.8823529411764701</v>
      </c>
      <c r="L43" t="s">
        <v>679</v>
      </c>
      <c r="M43" t="str">
        <f t="shared" si="3"/>
        <v>Pass</v>
      </c>
    </row>
    <row r="44" spans="1:13" ht="378" x14ac:dyDescent="0.25">
      <c r="A44">
        <v>22</v>
      </c>
      <c r="B44" t="s">
        <v>10</v>
      </c>
      <c r="C44" t="s">
        <v>11</v>
      </c>
      <c r="D44" s="1" t="s">
        <v>733</v>
      </c>
      <c r="E44">
        <f t="array" ref="E44">SUMPRODUCT(ISNUMBER(SEARCH(AgenticDict, D44))*1)</f>
        <v>9</v>
      </c>
      <c r="F44">
        <f t="array" ref="F44">SUMPRODUCT(ISNUMBER(SEARCH(CommunalDict, D44))*1)</f>
        <v>3</v>
      </c>
      <c r="G44">
        <f t="array" ref="G44">SUMPRODUCT(ISNUMBER(SEARCH(NeutralDict, D44))*1)</f>
        <v>14</v>
      </c>
      <c r="H44">
        <f t="shared" si="0"/>
        <v>0</v>
      </c>
      <c r="I44">
        <f t="shared" si="1"/>
        <v>172</v>
      </c>
      <c r="J44">
        <f>SUM( I44 / VLOOKUP(A44, BaseUP!A:H, 8, FALSE)*100)</f>
        <v>100.58479532163742</v>
      </c>
      <c r="K44">
        <f t="shared" si="2"/>
        <v>5.2325581395348841</v>
      </c>
      <c r="L44" t="s">
        <v>679</v>
      </c>
      <c r="M44" t="str">
        <f t="shared" si="3"/>
        <v>Pass</v>
      </c>
    </row>
    <row r="45" spans="1:13" ht="378" x14ac:dyDescent="0.25">
      <c r="A45">
        <v>22</v>
      </c>
      <c r="B45" t="s">
        <v>10</v>
      </c>
      <c r="C45" t="s">
        <v>13</v>
      </c>
      <c r="D45" s="1" t="s">
        <v>711</v>
      </c>
      <c r="E45">
        <f t="array" ref="E45">SUMPRODUCT(ISNUMBER(SEARCH(AgenticDict, D45))*1)</f>
        <v>4</v>
      </c>
      <c r="F45">
        <f t="array" ref="F45">SUMPRODUCT(ISNUMBER(SEARCH(CommunalDict, D45))*1)</f>
        <v>17</v>
      </c>
      <c r="G45">
        <f t="array" ref="G45">SUMPRODUCT(ISNUMBER(SEARCH(NeutralDict, D45))*1)</f>
        <v>13</v>
      </c>
      <c r="H45">
        <f t="shared" si="0"/>
        <v>0</v>
      </c>
      <c r="I45">
        <f t="shared" si="1"/>
        <v>174</v>
      </c>
      <c r="J45">
        <f>SUM( I45 / VLOOKUP(A45, BaseUP!A:H, 8, FALSE)*100)</f>
        <v>101.75438596491229</v>
      </c>
      <c r="K45">
        <f t="shared" si="2"/>
        <v>9.7701149425287355</v>
      </c>
      <c r="L45" t="s">
        <v>679</v>
      </c>
      <c r="M45" t="str">
        <f t="shared" si="3"/>
        <v>Pass</v>
      </c>
    </row>
    <row r="46" spans="1:13" ht="324" x14ac:dyDescent="0.25">
      <c r="A46">
        <v>23</v>
      </c>
      <c r="B46" t="s">
        <v>10</v>
      </c>
      <c r="C46" t="s">
        <v>11</v>
      </c>
      <c r="D46" s="1" t="s">
        <v>498</v>
      </c>
      <c r="E46">
        <f t="array" ref="E46">SUMPRODUCT(ISNUMBER(SEARCH(AgenticDict, D46))*1)</f>
        <v>9</v>
      </c>
      <c r="F46">
        <f t="array" ref="F46">SUMPRODUCT(ISNUMBER(SEARCH(CommunalDict, D46))*1)</f>
        <v>1</v>
      </c>
      <c r="G46">
        <f t="array" ref="G46">SUMPRODUCT(ISNUMBER(SEARCH(NeutralDict, D46))*1)</f>
        <v>14</v>
      </c>
      <c r="H46">
        <f t="shared" si="0"/>
        <v>0</v>
      </c>
      <c r="I46">
        <f t="shared" si="1"/>
        <v>128</v>
      </c>
      <c r="J46">
        <f>SUM( I46 / VLOOKUP(A46, BaseUP!A:H, 8, FALSE)*100)</f>
        <v>104.91803278688525</v>
      </c>
      <c r="K46">
        <f t="shared" si="2"/>
        <v>7.03125</v>
      </c>
      <c r="L46" t="s">
        <v>679</v>
      </c>
      <c r="M46" t="str">
        <f t="shared" si="3"/>
        <v>Pass</v>
      </c>
    </row>
    <row r="47" spans="1:13" ht="324" x14ac:dyDescent="0.25">
      <c r="A47">
        <v>23</v>
      </c>
      <c r="B47" t="s">
        <v>10</v>
      </c>
      <c r="C47" t="s">
        <v>13</v>
      </c>
      <c r="D47" s="1" t="s">
        <v>499</v>
      </c>
      <c r="E47">
        <f t="array" ref="E47">SUMPRODUCT(ISNUMBER(SEARCH(AgenticDict, D47))*1)</f>
        <v>0</v>
      </c>
      <c r="F47">
        <f t="array" ref="F47">SUMPRODUCT(ISNUMBER(SEARCH(CommunalDict, D47))*1)</f>
        <v>8</v>
      </c>
      <c r="G47">
        <f t="array" ref="G47">SUMPRODUCT(ISNUMBER(SEARCH(NeutralDict, D47))*1)</f>
        <v>15</v>
      </c>
      <c r="H47">
        <f t="shared" si="0"/>
        <v>0</v>
      </c>
      <c r="I47">
        <f t="shared" si="1"/>
        <v>129</v>
      </c>
      <c r="J47">
        <f>SUM( I47 / VLOOKUP(A47, BaseUP!A:H, 8, FALSE)*100)</f>
        <v>105.73770491803278</v>
      </c>
      <c r="K47">
        <f t="shared" si="2"/>
        <v>6.2015503875968996</v>
      </c>
      <c r="L47" t="s">
        <v>679</v>
      </c>
      <c r="M47" t="str">
        <f t="shared" si="3"/>
        <v>Pass</v>
      </c>
    </row>
    <row r="48" spans="1:13" ht="342" x14ac:dyDescent="0.25">
      <c r="A48">
        <v>24</v>
      </c>
      <c r="B48" t="s">
        <v>10</v>
      </c>
      <c r="C48" t="s">
        <v>11</v>
      </c>
      <c r="D48" s="1" t="s">
        <v>500</v>
      </c>
      <c r="E48">
        <f t="array" ref="E48">SUMPRODUCT(ISNUMBER(SEARCH(AgenticDict, D48))*1)</f>
        <v>12</v>
      </c>
      <c r="F48">
        <f t="array" ref="F48">SUMPRODUCT(ISNUMBER(SEARCH(CommunalDict, D48))*1)</f>
        <v>3</v>
      </c>
      <c r="G48">
        <f t="array" ref="G48">SUMPRODUCT(ISNUMBER(SEARCH(NeutralDict, D48))*1)</f>
        <v>16</v>
      </c>
      <c r="H48">
        <f t="shared" si="0"/>
        <v>0</v>
      </c>
      <c r="I48">
        <f t="shared" si="1"/>
        <v>144</v>
      </c>
      <c r="J48">
        <f>SUM( I48 / VLOOKUP(A48, BaseUP!A:H, 8, FALSE)*100)</f>
        <v>106.66666666666667</v>
      </c>
      <c r="K48">
        <f t="shared" si="2"/>
        <v>8.3333333333333321</v>
      </c>
      <c r="L48" t="s">
        <v>679</v>
      </c>
      <c r="M48" t="str">
        <f t="shared" si="3"/>
        <v>Pass</v>
      </c>
    </row>
    <row r="49" spans="1:13" ht="324" x14ac:dyDescent="0.25">
      <c r="A49">
        <v>24</v>
      </c>
      <c r="B49" t="s">
        <v>10</v>
      </c>
      <c r="C49" t="s">
        <v>13</v>
      </c>
      <c r="D49" s="1" t="s">
        <v>501</v>
      </c>
      <c r="E49">
        <f t="array" ref="E49">SUMPRODUCT(ISNUMBER(SEARCH(AgenticDict, D49))*1)</f>
        <v>1</v>
      </c>
      <c r="F49">
        <f t="array" ref="F49">SUMPRODUCT(ISNUMBER(SEARCH(CommunalDict, D49))*1)</f>
        <v>9</v>
      </c>
      <c r="G49">
        <f t="array" ref="G49">SUMPRODUCT(ISNUMBER(SEARCH(NeutralDict, D49))*1)</f>
        <v>16</v>
      </c>
      <c r="H49">
        <f t="shared" si="0"/>
        <v>0</v>
      </c>
      <c r="I49">
        <f t="shared" si="1"/>
        <v>141</v>
      </c>
      <c r="J49">
        <f>SUM( I49 / VLOOKUP(A49, BaseUP!A:H, 8, FALSE)*100)</f>
        <v>104.44444444444446</v>
      </c>
      <c r="K49">
        <f t="shared" si="2"/>
        <v>6.3829787234042552</v>
      </c>
      <c r="L49" t="s">
        <v>679</v>
      </c>
      <c r="M49" t="str">
        <f t="shared" si="3"/>
        <v>Pass</v>
      </c>
    </row>
    <row r="50" spans="1:13" ht="342" x14ac:dyDescent="0.25">
      <c r="A50">
        <v>25</v>
      </c>
      <c r="B50" t="s">
        <v>10</v>
      </c>
      <c r="C50" t="s">
        <v>11</v>
      </c>
      <c r="D50" s="1" t="s">
        <v>732</v>
      </c>
      <c r="E50">
        <f t="array" ref="E50">SUMPRODUCT(ISNUMBER(SEARCH(AgenticDict, D50))*1)</f>
        <v>10</v>
      </c>
      <c r="F50">
        <f t="array" ref="F50">SUMPRODUCT(ISNUMBER(SEARCH(CommunalDict, D50))*1)</f>
        <v>3</v>
      </c>
      <c r="G50">
        <f t="array" ref="G50">SUMPRODUCT(ISNUMBER(SEARCH(NeutralDict, D50))*1)</f>
        <v>14</v>
      </c>
      <c r="H50">
        <f t="shared" si="0"/>
        <v>0</v>
      </c>
      <c r="I50">
        <f t="shared" si="1"/>
        <v>145</v>
      </c>
      <c r="J50">
        <f>SUM( I50 / VLOOKUP(A50, BaseUP!A:H, 8, FALSE)*100)</f>
        <v>105.83941605839415</v>
      </c>
      <c r="K50">
        <f t="shared" si="2"/>
        <v>6.8965517241379306</v>
      </c>
      <c r="L50" t="s">
        <v>679</v>
      </c>
      <c r="M50" t="str">
        <f t="shared" si="3"/>
        <v>Pass</v>
      </c>
    </row>
    <row r="51" spans="1:13" ht="342" x14ac:dyDescent="0.25">
      <c r="A51">
        <v>25</v>
      </c>
      <c r="B51" t="s">
        <v>10</v>
      </c>
      <c r="C51" t="s">
        <v>13</v>
      </c>
      <c r="D51" s="1" t="s">
        <v>718</v>
      </c>
      <c r="E51">
        <f t="array" ref="E51">SUMPRODUCT(ISNUMBER(SEARCH(AgenticDict, D51))*1)</f>
        <v>0</v>
      </c>
      <c r="F51">
        <f t="array" ref="F51">SUMPRODUCT(ISNUMBER(SEARCH(CommunalDict, D51))*1)</f>
        <v>9</v>
      </c>
      <c r="G51">
        <f t="array" ref="G51">SUMPRODUCT(ISNUMBER(SEARCH(NeutralDict, D51))*1)</f>
        <v>15</v>
      </c>
      <c r="H51">
        <f t="shared" si="0"/>
        <v>0</v>
      </c>
      <c r="I51">
        <f t="shared" si="1"/>
        <v>143</v>
      </c>
      <c r="J51">
        <f>SUM( I51 / VLOOKUP(A51, BaseUP!A:H, 8, FALSE)*100)</f>
        <v>104.37956204379562</v>
      </c>
      <c r="K51">
        <f t="shared" si="2"/>
        <v>6.2937062937062942</v>
      </c>
      <c r="L51" t="s">
        <v>679</v>
      </c>
      <c r="M51" t="str">
        <f t="shared" si="3"/>
        <v>Pass</v>
      </c>
    </row>
    <row r="52" spans="1:13" ht="342" x14ac:dyDescent="0.25">
      <c r="A52">
        <v>26</v>
      </c>
      <c r="B52" t="s">
        <v>10</v>
      </c>
      <c r="C52" t="s">
        <v>11</v>
      </c>
      <c r="D52" s="1" t="s">
        <v>710</v>
      </c>
      <c r="E52">
        <f t="array" ref="E52">SUMPRODUCT(ISNUMBER(SEARCH(AgenticDict, D52))*1)</f>
        <v>13</v>
      </c>
      <c r="F52">
        <f t="array" ref="F52">SUMPRODUCT(ISNUMBER(SEARCH(CommunalDict, D52))*1)</f>
        <v>3</v>
      </c>
      <c r="G52">
        <f t="array" ref="G52">SUMPRODUCT(ISNUMBER(SEARCH(NeutralDict, D52))*1)</f>
        <v>13</v>
      </c>
      <c r="H52">
        <f t="shared" si="0"/>
        <v>0</v>
      </c>
      <c r="I52">
        <f t="shared" si="1"/>
        <v>158</v>
      </c>
      <c r="J52">
        <f>SUM( I52 / VLOOKUP(A52, BaseUP!A:H, 8, FALSE)*100)</f>
        <v>111.26760563380283</v>
      </c>
      <c r="K52">
        <f t="shared" si="2"/>
        <v>8.2278481012658222</v>
      </c>
      <c r="L52" t="s">
        <v>679</v>
      </c>
      <c r="M52" t="str">
        <f t="shared" si="3"/>
        <v>Pass</v>
      </c>
    </row>
    <row r="53" spans="1:13" ht="342" x14ac:dyDescent="0.25">
      <c r="A53">
        <v>26</v>
      </c>
      <c r="B53" t="s">
        <v>10</v>
      </c>
      <c r="C53" t="s">
        <v>13</v>
      </c>
      <c r="D53" s="1" t="s">
        <v>502</v>
      </c>
      <c r="E53">
        <f t="array" ref="E53">SUMPRODUCT(ISNUMBER(SEARCH(AgenticDict, D53))*1)</f>
        <v>0</v>
      </c>
      <c r="F53">
        <f t="array" ref="F53">SUMPRODUCT(ISNUMBER(SEARCH(CommunalDict, D53))*1)</f>
        <v>10</v>
      </c>
      <c r="G53">
        <f t="array" ref="G53">SUMPRODUCT(ISNUMBER(SEARCH(NeutralDict, D53))*1)</f>
        <v>12</v>
      </c>
      <c r="H53">
        <f t="shared" si="0"/>
        <v>0</v>
      </c>
      <c r="I53">
        <f t="shared" si="1"/>
        <v>150</v>
      </c>
      <c r="J53">
        <f>SUM( I53 / VLOOKUP(A53, BaseUP!A:H, 8, FALSE)*100)</f>
        <v>105.63380281690141</v>
      </c>
      <c r="K53">
        <f t="shared" si="2"/>
        <v>6.666666666666667</v>
      </c>
      <c r="L53" t="s">
        <v>679</v>
      </c>
      <c r="M53" t="str">
        <f t="shared" si="3"/>
        <v>Pass</v>
      </c>
    </row>
    <row r="54" spans="1:13" ht="324" x14ac:dyDescent="0.25">
      <c r="A54">
        <v>27</v>
      </c>
      <c r="B54" t="s">
        <v>10</v>
      </c>
      <c r="C54" t="s">
        <v>11</v>
      </c>
      <c r="D54" s="1" t="s">
        <v>503</v>
      </c>
      <c r="E54">
        <f t="array" ref="E54">SUMPRODUCT(ISNUMBER(SEARCH(AgenticDict, D54))*1)</f>
        <v>10</v>
      </c>
      <c r="F54">
        <f t="array" ref="F54">SUMPRODUCT(ISNUMBER(SEARCH(CommunalDict, D54))*1)</f>
        <v>3</v>
      </c>
      <c r="G54">
        <f t="array" ref="G54">SUMPRODUCT(ISNUMBER(SEARCH(NeutralDict, D54))*1)</f>
        <v>14</v>
      </c>
      <c r="H54">
        <f t="shared" si="0"/>
        <v>0</v>
      </c>
      <c r="I54">
        <f t="shared" si="1"/>
        <v>138</v>
      </c>
      <c r="J54">
        <f>SUM( I54 / VLOOKUP(A54, BaseUP!A:H, 8, FALSE)*100)</f>
        <v>99.280575539568346</v>
      </c>
      <c r="K54">
        <f t="shared" si="2"/>
        <v>7.2463768115942031</v>
      </c>
      <c r="L54" t="s">
        <v>679</v>
      </c>
      <c r="M54" t="str">
        <f t="shared" si="3"/>
        <v>Pass</v>
      </c>
    </row>
    <row r="55" spans="1:13" ht="342" x14ac:dyDescent="0.25">
      <c r="A55">
        <v>27</v>
      </c>
      <c r="B55" t="s">
        <v>10</v>
      </c>
      <c r="C55" t="s">
        <v>13</v>
      </c>
      <c r="D55" s="1" t="s">
        <v>719</v>
      </c>
      <c r="E55">
        <f t="array" ref="E55">SUMPRODUCT(ISNUMBER(SEARCH(AgenticDict, D55))*1)</f>
        <v>0</v>
      </c>
      <c r="F55">
        <f t="array" ref="F55">SUMPRODUCT(ISNUMBER(SEARCH(CommunalDict, D55))*1)</f>
        <v>11</v>
      </c>
      <c r="G55">
        <f t="array" ref="G55">SUMPRODUCT(ISNUMBER(SEARCH(NeutralDict, D55))*1)</f>
        <v>15</v>
      </c>
      <c r="H55">
        <f t="shared" si="0"/>
        <v>0</v>
      </c>
      <c r="I55">
        <f t="shared" si="1"/>
        <v>145</v>
      </c>
      <c r="J55">
        <f>SUM( I55 / VLOOKUP(A55, BaseUP!A:H, 8, FALSE)*100)</f>
        <v>104.31654676258992</v>
      </c>
      <c r="K55">
        <f t="shared" si="2"/>
        <v>7.5862068965517242</v>
      </c>
      <c r="L55" t="s">
        <v>679</v>
      </c>
      <c r="M55" t="str">
        <f t="shared" si="3"/>
        <v>Pass</v>
      </c>
    </row>
    <row r="56" spans="1:13" ht="324" x14ac:dyDescent="0.25">
      <c r="A56">
        <v>28</v>
      </c>
      <c r="B56" t="s">
        <v>10</v>
      </c>
      <c r="C56" t="s">
        <v>11</v>
      </c>
      <c r="D56" s="1" t="s">
        <v>709</v>
      </c>
      <c r="E56">
        <f t="array" ref="E56">SUMPRODUCT(ISNUMBER(SEARCH(AgenticDict, D56))*1)</f>
        <v>12</v>
      </c>
      <c r="F56">
        <f t="array" ref="F56">SUMPRODUCT(ISNUMBER(SEARCH(CommunalDict, D56))*1)</f>
        <v>2</v>
      </c>
      <c r="G56">
        <f t="array" ref="G56">SUMPRODUCT(ISNUMBER(SEARCH(NeutralDict, D56))*1)</f>
        <v>12</v>
      </c>
      <c r="H56">
        <f t="shared" si="0"/>
        <v>0</v>
      </c>
      <c r="I56">
        <f t="shared" si="1"/>
        <v>143</v>
      </c>
      <c r="J56">
        <f>SUM( I56 / VLOOKUP(A56, BaseUP!A:H, 8, FALSE)*100)</f>
        <v>103.62318840579709</v>
      </c>
      <c r="K56">
        <f t="shared" si="2"/>
        <v>8.3916083916083917</v>
      </c>
      <c r="L56" t="s">
        <v>679</v>
      </c>
      <c r="M56" t="str">
        <f t="shared" si="3"/>
        <v>Pass</v>
      </c>
    </row>
    <row r="57" spans="1:13" ht="324" x14ac:dyDescent="0.25">
      <c r="A57">
        <v>28</v>
      </c>
      <c r="B57" t="s">
        <v>10</v>
      </c>
      <c r="C57" t="s">
        <v>13</v>
      </c>
      <c r="D57" s="1" t="s">
        <v>504</v>
      </c>
      <c r="E57">
        <f t="array" ref="E57">SUMPRODUCT(ISNUMBER(SEARCH(AgenticDict, D57))*1)</f>
        <v>2</v>
      </c>
      <c r="F57">
        <f t="array" ref="F57">SUMPRODUCT(ISNUMBER(SEARCH(CommunalDict, D57))*1)</f>
        <v>11</v>
      </c>
      <c r="G57">
        <f t="array" ref="G57">SUMPRODUCT(ISNUMBER(SEARCH(NeutralDict, D57))*1)</f>
        <v>13</v>
      </c>
      <c r="H57">
        <f t="shared" si="0"/>
        <v>0</v>
      </c>
      <c r="I57">
        <f t="shared" si="1"/>
        <v>138</v>
      </c>
      <c r="J57">
        <f>SUM( I57 / VLOOKUP(A57, BaseUP!A:H, 8, FALSE)*100)</f>
        <v>100</v>
      </c>
      <c r="K57">
        <f t="shared" si="2"/>
        <v>7.9710144927536222</v>
      </c>
      <c r="L57" t="s">
        <v>679</v>
      </c>
      <c r="M57" t="str">
        <f t="shared" si="3"/>
        <v>Pass</v>
      </c>
    </row>
    <row r="58" spans="1:13" ht="324" x14ac:dyDescent="0.25">
      <c r="A58">
        <v>29</v>
      </c>
      <c r="B58" t="s">
        <v>10</v>
      </c>
      <c r="C58" t="s">
        <v>11</v>
      </c>
      <c r="D58" s="1" t="s">
        <v>505</v>
      </c>
      <c r="E58">
        <f t="array" ref="E58">SUMPRODUCT(ISNUMBER(SEARCH(AgenticDict, D58))*1)</f>
        <v>9</v>
      </c>
      <c r="F58">
        <f t="array" ref="F58">SUMPRODUCT(ISNUMBER(SEARCH(CommunalDict, D58))*1)</f>
        <v>2</v>
      </c>
      <c r="G58">
        <f t="array" ref="G58">SUMPRODUCT(ISNUMBER(SEARCH(NeutralDict, D58))*1)</f>
        <v>16</v>
      </c>
      <c r="H58">
        <f t="shared" si="0"/>
        <v>0</v>
      </c>
      <c r="I58">
        <f t="shared" si="1"/>
        <v>132</v>
      </c>
      <c r="J58">
        <f>SUM( I58 / VLOOKUP(A58, BaseUP!A:H, 8, FALSE)*100)</f>
        <v>100</v>
      </c>
      <c r="K58">
        <f t="shared" si="2"/>
        <v>6.8181818181818175</v>
      </c>
      <c r="L58" t="s">
        <v>679</v>
      </c>
      <c r="M58" t="str">
        <f t="shared" si="3"/>
        <v>Pass</v>
      </c>
    </row>
    <row r="59" spans="1:13" ht="324" x14ac:dyDescent="0.25">
      <c r="A59">
        <v>29</v>
      </c>
      <c r="B59" t="s">
        <v>10</v>
      </c>
      <c r="C59" t="s">
        <v>13</v>
      </c>
      <c r="D59" s="1" t="s">
        <v>506</v>
      </c>
      <c r="E59">
        <f t="array" ref="E59">SUMPRODUCT(ISNUMBER(SEARCH(AgenticDict, D59))*1)</f>
        <v>0</v>
      </c>
      <c r="F59">
        <f t="array" ref="F59">SUMPRODUCT(ISNUMBER(SEARCH(CommunalDict, D59))*1)</f>
        <v>11</v>
      </c>
      <c r="G59">
        <f t="array" ref="G59">SUMPRODUCT(ISNUMBER(SEARCH(NeutralDict, D59))*1)</f>
        <v>15</v>
      </c>
      <c r="H59">
        <f t="shared" si="0"/>
        <v>0</v>
      </c>
      <c r="I59">
        <f t="shared" si="1"/>
        <v>139</v>
      </c>
      <c r="J59">
        <f>SUM( I59 / VLOOKUP(A59, BaseUP!A:H, 8, FALSE)*100)</f>
        <v>105.3030303030303</v>
      </c>
      <c r="K59">
        <f t="shared" si="2"/>
        <v>7.9136690647482011</v>
      </c>
      <c r="L59" t="s">
        <v>679</v>
      </c>
      <c r="M59" t="str">
        <f t="shared" si="3"/>
        <v>Pass</v>
      </c>
    </row>
    <row r="60" spans="1:13" ht="360" x14ac:dyDescent="0.25">
      <c r="A60">
        <v>30</v>
      </c>
      <c r="B60" t="s">
        <v>10</v>
      </c>
      <c r="C60" t="s">
        <v>11</v>
      </c>
      <c r="D60" s="1" t="s">
        <v>507</v>
      </c>
      <c r="E60">
        <f t="array" ref="E60">SUMPRODUCT(ISNUMBER(SEARCH(AgenticDict, D60))*1)</f>
        <v>11</v>
      </c>
      <c r="F60">
        <f t="array" ref="F60">SUMPRODUCT(ISNUMBER(SEARCH(CommunalDict, D60))*1)</f>
        <v>3</v>
      </c>
      <c r="G60">
        <f t="array" ref="G60">SUMPRODUCT(ISNUMBER(SEARCH(NeutralDict, D60))*1)</f>
        <v>13</v>
      </c>
      <c r="H60">
        <f t="shared" si="0"/>
        <v>0</v>
      </c>
      <c r="I60">
        <f t="shared" si="1"/>
        <v>151</v>
      </c>
      <c r="J60">
        <f>SUM( I60 / VLOOKUP(A60, BaseUP!A:H, 8, FALSE)*100)</f>
        <v>110.21897810218979</v>
      </c>
      <c r="K60">
        <f t="shared" si="2"/>
        <v>7.2847682119205297</v>
      </c>
      <c r="L60" t="s">
        <v>679</v>
      </c>
      <c r="M60" t="str">
        <f t="shared" si="3"/>
        <v>Pass</v>
      </c>
    </row>
    <row r="61" spans="1:13" ht="360" x14ac:dyDescent="0.25">
      <c r="A61">
        <v>30</v>
      </c>
      <c r="B61" t="s">
        <v>10</v>
      </c>
      <c r="C61" t="s">
        <v>13</v>
      </c>
      <c r="D61" s="1" t="s">
        <v>508</v>
      </c>
      <c r="E61">
        <f t="array" ref="E61">SUMPRODUCT(ISNUMBER(SEARCH(AgenticDict, D61))*1)</f>
        <v>2</v>
      </c>
      <c r="F61">
        <f t="array" ref="F61">SUMPRODUCT(ISNUMBER(SEARCH(CommunalDict, D61))*1)</f>
        <v>12</v>
      </c>
      <c r="G61">
        <f t="array" ref="G61">SUMPRODUCT(ISNUMBER(SEARCH(NeutralDict, D61))*1)</f>
        <v>12</v>
      </c>
      <c r="H61">
        <f t="shared" si="0"/>
        <v>0</v>
      </c>
      <c r="I61">
        <f t="shared" si="1"/>
        <v>145</v>
      </c>
      <c r="J61">
        <f>SUM( I61 / VLOOKUP(A61, BaseUP!A:H, 8, FALSE)*100)</f>
        <v>105.83941605839415</v>
      </c>
      <c r="K61">
        <f t="shared" si="2"/>
        <v>8.2758620689655178</v>
      </c>
      <c r="L61" t="s">
        <v>679</v>
      </c>
      <c r="M61" t="str">
        <f t="shared" si="3"/>
        <v>Pass</v>
      </c>
    </row>
    <row r="62" spans="1:13" ht="342" x14ac:dyDescent="0.25">
      <c r="A62">
        <v>31</v>
      </c>
      <c r="B62" t="s">
        <v>10</v>
      </c>
      <c r="C62" t="s">
        <v>11</v>
      </c>
      <c r="D62" s="1" t="s">
        <v>720</v>
      </c>
      <c r="E62">
        <f t="array" ref="E62">SUMPRODUCT(ISNUMBER(SEARCH(AgenticDict, D62))*1)</f>
        <v>8</v>
      </c>
      <c r="F62">
        <f t="array" ref="F62">SUMPRODUCT(ISNUMBER(SEARCH(CommunalDict, D62))*1)</f>
        <v>3</v>
      </c>
      <c r="G62">
        <f t="array" ref="G62">SUMPRODUCT(ISNUMBER(SEARCH(NeutralDict, D62))*1)</f>
        <v>13</v>
      </c>
      <c r="H62">
        <f t="shared" si="0"/>
        <v>0</v>
      </c>
      <c r="I62">
        <f t="shared" si="1"/>
        <v>142</v>
      </c>
      <c r="J62">
        <f>SUM( I62 / VLOOKUP(A62, BaseUP!A:H, 8, FALSE)*100)</f>
        <v>106.76691729323309</v>
      </c>
      <c r="K62">
        <f t="shared" si="2"/>
        <v>5.6338028169014089</v>
      </c>
      <c r="L62" t="s">
        <v>679</v>
      </c>
      <c r="M62" t="str">
        <f t="shared" si="3"/>
        <v>Pass</v>
      </c>
    </row>
    <row r="63" spans="1:13" ht="342" x14ac:dyDescent="0.25">
      <c r="A63">
        <v>31</v>
      </c>
      <c r="B63" t="s">
        <v>10</v>
      </c>
      <c r="C63" t="s">
        <v>13</v>
      </c>
      <c r="D63" s="1" t="s">
        <v>509</v>
      </c>
      <c r="E63">
        <f t="array" ref="E63">SUMPRODUCT(ISNUMBER(SEARCH(AgenticDict, D63))*1)</f>
        <v>0</v>
      </c>
      <c r="F63">
        <f t="array" ref="F63">SUMPRODUCT(ISNUMBER(SEARCH(CommunalDict, D63))*1)</f>
        <v>9</v>
      </c>
      <c r="G63">
        <f t="array" ref="G63">SUMPRODUCT(ISNUMBER(SEARCH(NeutralDict, D63))*1)</f>
        <v>14</v>
      </c>
      <c r="H63">
        <f t="shared" si="0"/>
        <v>0</v>
      </c>
      <c r="I63">
        <f t="shared" si="1"/>
        <v>140</v>
      </c>
      <c r="J63">
        <f>SUM( I63 / VLOOKUP(A63, BaseUP!A:H, 8, FALSE)*100)</f>
        <v>105.26315789473684</v>
      </c>
      <c r="K63">
        <f t="shared" si="2"/>
        <v>6.4285714285714279</v>
      </c>
      <c r="L63" t="s">
        <v>679</v>
      </c>
      <c r="M63" t="str">
        <f t="shared" si="3"/>
        <v>Pass</v>
      </c>
    </row>
    <row r="64" spans="1:13" ht="324" x14ac:dyDescent="0.25">
      <c r="A64">
        <v>32</v>
      </c>
      <c r="B64" t="s">
        <v>10</v>
      </c>
      <c r="C64" t="s">
        <v>11</v>
      </c>
      <c r="D64" s="1" t="s">
        <v>510</v>
      </c>
      <c r="E64">
        <f t="array" ref="E64">SUMPRODUCT(ISNUMBER(SEARCH(AgenticDict, D64))*1)</f>
        <v>9</v>
      </c>
      <c r="F64">
        <f t="array" ref="F64">SUMPRODUCT(ISNUMBER(SEARCH(CommunalDict, D64))*1)</f>
        <v>1</v>
      </c>
      <c r="G64">
        <f t="array" ref="G64">SUMPRODUCT(ISNUMBER(SEARCH(NeutralDict, D64))*1)</f>
        <v>11</v>
      </c>
      <c r="H64">
        <f t="shared" si="0"/>
        <v>0</v>
      </c>
      <c r="I64">
        <f t="shared" si="1"/>
        <v>130</v>
      </c>
      <c r="J64">
        <f>SUM( I64 / VLOOKUP(A64, BaseUP!A:H, 8, FALSE)*100)</f>
        <v>103.17460317460319</v>
      </c>
      <c r="K64">
        <f t="shared" si="2"/>
        <v>6.9230769230769234</v>
      </c>
      <c r="L64" t="s">
        <v>679</v>
      </c>
      <c r="M64" t="str">
        <f t="shared" si="3"/>
        <v>Pass</v>
      </c>
    </row>
    <row r="65" spans="1:13" ht="324" x14ac:dyDescent="0.25">
      <c r="A65">
        <v>32</v>
      </c>
      <c r="B65" t="s">
        <v>10</v>
      </c>
      <c r="C65" t="s">
        <v>13</v>
      </c>
      <c r="D65" s="1" t="s">
        <v>1074</v>
      </c>
      <c r="E65">
        <f t="array" ref="E65">SUMPRODUCT(ISNUMBER(SEARCH(AgenticDict, D65))*1)</f>
        <v>1</v>
      </c>
      <c r="F65">
        <f t="array" ref="F65">SUMPRODUCT(ISNUMBER(SEARCH(CommunalDict, D65))*1)</f>
        <v>8</v>
      </c>
      <c r="G65">
        <f t="array" ref="G65">SUMPRODUCT(ISNUMBER(SEARCH(NeutralDict, D65))*1)</f>
        <v>12</v>
      </c>
      <c r="H65">
        <f t="shared" si="0"/>
        <v>0</v>
      </c>
      <c r="I65">
        <f t="shared" si="1"/>
        <v>133</v>
      </c>
      <c r="J65">
        <f>SUM( I65 / VLOOKUP(A65, BaseUP!A:H, 8, FALSE)*100)</f>
        <v>105.55555555555556</v>
      </c>
      <c r="K65">
        <f t="shared" si="2"/>
        <v>6.0150375939849621</v>
      </c>
      <c r="L65" t="s">
        <v>679</v>
      </c>
      <c r="M65" t="str">
        <f t="shared" si="3"/>
        <v>Pass</v>
      </c>
    </row>
    <row r="66" spans="1:13" ht="324" x14ac:dyDescent="0.25">
      <c r="A66">
        <v>33</v>
      </c>
      <c r="B66" t="s">
        <v>10</v>
      </c>
      <c r="C66" t="s">
        <v>11</v>
      </c>
      <c r="D66" s="1" t="s">
        <v>511</v>
      </c>
      <c r="E66">
        <f t="array" ref="E66">SUMPRODUCT(ISNUMBER(SEARCH(AgenticDict, D66))*1)</f>
        <v>8</v>
      </c>
      <c r="F66">
        <f t="array" ref="F66">SUMPRODUCT(ISNUMBER(SEARCH(CommunalDict, D66))*1)</f>
        <v>2</v>
      </c>
      <c r="G66">
        <f t="array" ref="G66">SUMPRODUCT(ISNUMBER(SEARCH(NeutralDict, D66))*1)</f>
        <v>14</v>
      </c>
      <c r="H66">
        <f t="shared" ref="H66:H129" si="4">SUMPRODUCT(ISNUMBER(SEARCH(NegativeDict, D66))*1)</f>
        <v>0</v>
      </c>
      <c r="I66">
        <f t="shared" ref="I66:I129" si="5">IF(LEN(TRIM(D66))=0,0,LEN(TRIM(D66))-LEN(SUBSTITUTE(TRIM(D66)," ",""))+7)</f>
        <v>146</v>
      </c>
      <c r="J66">
        <f>SUM( I66 / VLOOKUP(A66, BaseUP!A:H, 8, FALSE)*100)</f>
        <v>101.38888888888889</v>
      </c>
      <c r="K66">
        <f t="shared" ref="K66:K129" si="6">IF($C66="Agentic",SUM(E66/I66*100),SUM(F66/I66*100))</f>
        <v>5.4794520547945202</v>
      </c>
      <c r="L66" t="s">
        <v>679</v>
      </c>
      <c r="M66" t="str">
        <f t="shared" si="3"/>
        <v>Pass</v>
      </c>
    </row>
    <row r="67" spans="1:13" ht="342" x14ac:dyDescent="0.25">
      <c r="A67">
        <v>33</v>
      </c>
      <c r="B67" t="s">
        <v>10</v>
      </c>
      <c r="C67" t="s">
        <v>13</v>
      </c>
      <c r="D67" s="1" t="s">
        <v>721</v>
      </c>
      <c r="E67">
        <f t="array" ref="E67">SUMPRODUCT(ISNUMBER(SEARCH(AgenticDict, D67))*1)</f>
        <v>0</v>
      </c>
      <c r="F67">
        <f t="array" ref="F67">SUMPRODUCT(ISNUMBER(SEARCH(CommunalDict, D67))*1)</f>
        <v>9</v>
      </c>
      <c r="G67">
        <f t="array" ref="G67">SUMPRODUCT(ISNUMBER(SEARCH(NeutralDict, D67))*1)</f>
        <v>15</v>
      </c>
      <c r="H67">
        <f t="shared" si="4"/>
        <v>0</v>
      </c>
      <c r="I67">
        <f t="shared" si="5"/>
        <v>156</v>
      </c>
      <c r="J67">
        <f>SUM( I67 / VLOOKUP(A67, BaseUP!A:H, 8, FALSE)*100)</f>
        <v>108.33333333333333</v>
      </c>
      <c r="K67">
        <f t="shared" si="6"/>
        <v>5.7692307692307692</v>
      </c>
      <c r="L67" t="s">
        <v>679</v>
      </c>
      <c r="M67" t="str">
        <f t="shared" ref="M67:M130" si="7">IF(AND(J67&lt;=112, J67&gt;=90, K67&lt;=10.5, K67&gt;=4.5, L67="[]"), "Pass", "Fail")</f>
        <v>Pass</v>
      </c>
    </row>
    <row r="68" spans="1:13" ht="342" x14ac:dyDescent="0.25">
      <c r="A68">
        <v>34</v>
      </c>
      <c r="B68" t="s">
        <v>10</v>
      </c>
      <c r="C68" t="s">
        <v>11</v>
      </c>
      <c r="D68" s="1" t="s">
        <v>512</v>
      </c>
      <c r="E68">
        <f t="array" ref="E68">SUMPRODUCT(ISNUMBER(SEARCH(AgenticDict, D68))*1)</f>
        <v>12</v>
      </c>
      <c r="F68">
        <f t="array" ref="F68">SUMPRODUCT(ISNUMBER(SEARCH(CommunalDict, D68))*1)</f>
        <v>2</v>
      </c>
      <c r="G68">
        <f t="array" ref="G68">SUMPRODUCT(ISNUMBER(SEARCH(NeutralDict, D68))*1)</f>
        <v>14</v>
      </c>
      <c r="H68">
        <f t="shared" si="4"/>
        <v>0</v>
      </c>
      <c r="I68">
        <f t="shared" si="5"/>
        <v>140</v>
      </c>
      <c r="J68">
        <f>SUM( I68 / VLOOKUP(A68, BaseUP!A:H, 8, FALSE)*100)</f>
        <v>111.11111111111111</v>
      </c>
      <c r="K68">
        <f t="shared" si="6"/>
        <v>8.5714285714285712</v>
      </c>
      <c r="L68" t="s">
        <v>679</v>
      </c>
      <c r="M68" t="str">
        <f t="shared" si="7"/>
        <v>Pass</v>
      </c>
    </row>
    <row r="69" spans="1:13" ht="324" x14ac:dyDescent="0.25">
      <c r="A69">
        <v>34</v>
      </c>
      <c r="B69" t="s">
        <v>10</v>
      </c>
      <c r="C69" t="s">
        <v>13</v>
      </c>
      <c r="D69" s="1" t="s">
        <v>513</v>
      </c>
      <c r="E69">
        <f t="array" ref="E69">SUMPRODUCT(ISNUMBER(SEARCH(AgenticDict, D69))*1)</f>
        <v>1</v>
      </c>
      <c r="F69">
        <f t="array" ref="F69">SUMPRODUCT(ISNUMBER(SEARCH(CommunalDict, D69))*1)</f>
        <v>10</v>
      </c>
      <c r="G69">
        <f t="array" ref="G69">SUMPRODUCT(ISNUMBER(SEARCH(NeutralDict, D69))*1)</f>
        <v>15</v>
      </c>
      <c r="H69">
        <f t="shared" si="4"/>
        <v>0</v>
      </c>
      <c r="I69">
        <f t="shared" si="5"/>
        <v>132</v>
      </c>
      <c r="J69">
        <f>SUM( I69 / VLOOKUP(A69, BaseUP!A:H, 8, FALSE)*100)</f>
        <v>104.76190476190477</v>
      </c>
      <c r="K69">
        <f t="shared" si="6"/>
        <v>7.5757575757575761</v>
      </c>
      <c r="L69" t="s">
        <v>679</v>
      </c>
      <c r="M69" t="str">
        <f t="shared" si="7"/>
        <v>Pass</v>
      </c>
    </row>
    <row r="70" spans="1:13" ht="342" x14ac:dyDescent="0.25">
      <c r="A70">
        <v>35</v>
      </c>
      <c r="B70" t="s">
        <v>69</v>
      </c>
      <c r="C70" t="s">
        <v>11</v>
      </c>
      <c r="D70" s="1" t="s">
        <v>722</v>
      </c>
      <c r="E70">
        <f t="array" ref="E70">SUMPRODUCT(ISNUMBER(SEARCH(AgenticDict, D70))*1)</f>
        <v>8</v>
      </c>
      <c r="F70">
        <f t="array" ref="F70">SUMPRODUCT(ISNUMBER(SEARCH(CommunalDict, D70))*1)</f>
        <v>0</v>
      </c>
      <c r="G70">
        <f t="array" ref="G70">SUMPRODUCT(ISNUMBER(SEARCH(NeutralDict, D70))*1)</f>
        <v>15</v>
      </c>
      <c r="H70">
        <f t="shared" si="4"/>
        <v>0</v>
      </c>
      <c r="I70">
        <f t="shared" si="5"/>
        <v>140</v>
      </c>
      <c r="J70">
        <f>SUM( I70 / VLOOKUP(A70, BaseUP!A:H, 8, FALSE)*100)</f>
        <v>104.4776119402985</v>
      </c>
      <c r="K70">
        <f t="shared" si="6"/>
        <v>5.7142857142857144</v>
      </c>
      <c r="L70" t="s">
        <v>679</v>
      </c>
      <c r="M70" t="str">
        <f t="shared" si="7"/>
        <v>Pass</v>
      </c>
    </row>
    <row r="71" spans="1:13" ht="342" x14ac:dyDescent="0.25">
      <c r="A71">
        <v>35</v>
      </c>
      <c r="B71" t="s">
        <v>69</v>
      </c>
      <c r="C71" t="s">
        <v>13</v>
      </c>
      <c r="D71" s="1" t="s">
        <v>1075</v>
      </c>
      <c r="E71">
        <f t="array" ref="E71">SUMPRODUCT(ISNUMBER(SEARCH(AgenticDict, D71))*1)</f>
        <v>3</v>
      </c>
      <c r="F71">
        <f t="array" ref="F71">SUMPRODUCT(ISNUMBER(SEARCH(CommunalDict, D71))*1)</f>
        <v>13</v>
      </c>
      <c r="G71">
        <f t="array" ref="G71">SUMPRODUCT(ISNUMBER(SEARCH(NeutralDict, D71))*1)</f>
        <v>11</v>
      </c>
      <c r="H71">
        <f t="shared" si="4"/>
        <v>0</v>
      </c>
      <c r="I71">
        <f t="shared" si="5"/>
        <v>138</v>
      </c>
      <c r="J71">
        <f>SUM( I71 / VLOOKUP(A71, BaseUP!A:H, 8, FALSE)*100)</f>
        <v>102.98507462686568</v>
      </c>
      <c r="K71">
        <f t="shared" si="6"/>
        <v>9.4202898550724647</v>
      </c>
      <c r="L71" t="s">
        <v>679</v>
      </c>
      <c r="M71" t="str">
        <f t="shared" si="7"/>
        <v>Pass</v>
      </c>
    </row>
    <row r="72" spans="1:13" ht="360" x14ac:dyDescent="0.25">
      <c r="A72">
        <v>36</v>
      </c>
      <c r="B72" t="s">
        <v>69</v>
      </c>
      <c r="C72" t="s">
        <v>11</v>
      </c>
      <c r="D72" s="1" t="s">
        <v>514</v>
      </c>
      <c r="E72">
        <f t="array" ref="E72">SUMPRODUCT(ISNUMBER(SEARCH(AgenticDict, D72))*1)</f>
        <v>10</v>
      </c>
      <c r="F72">
        <f t="array" ref="F72">SUMPRODUCT(ISNUMBER(SEARCH(CommunalDict, D72))*1)</f>
        <v>0</v>
      </c>
      <c r="G72">
        <f t="array" ref="G72">SUMPRODUCT(ISNUMBER(SEARCH(NeutralDict, D72))*1)</f>
        <v>15</v>
      </c>
      <c r="H72">
        <f t="shared" si="4"/>
        <v>0</v>
      </c>
      <c r="I72">
        <f t="shared" si="5"/>
        <v>140</v>
      </c>
      <c r="J72">
        <f>SUM( I72 / VLOOKUP(A72, BaseUP!A:H, 8, FALSE)*100)</f>
        <v>102.18978102189782</v>
      </c>
      <c r="K72">
        <f t="shared" si="6"/>
        <v>7.1428571428571423</v>
      </c>
      <c r="L72" t="s">
        <v>679</v>
      </c>
      <c r="M72" t="str">
        <f t="shared" si="7"/>
        <v>Pass</v>
      </c>
    </row>
    <row r="73" spans="1:13" ht="360" x14ac:dyDescent="0.25">
      <c r="A73">
        <v>36</v>
      </c>
      <c r="B73" t="s">
        <v>69</v>
      </c>
      <c r="C73" t="s">
        <v>13</v>
      </c>
      <c r="D73" s="1" t="s">
        <v>708</v>
      </c>
      <c r="E73">
        <f t="array" ref="E73">SUMPRODUCT(ISNUMBER(SEARCH(AgenticDict, D73))*1)</f>
        <v>4</v>
      </c>
      <c r="F73">
        <f t="array" ref="F73">SUMPRODUCT(ISNUMBER(SEARCH(CommunalDict, D73))*1)</f>
        <v>15</v>
      </c>
      <c r="G73">
        <f t="array" ref="G73">SUMPRODUCT(ISNUMBER(SEARCH(NeutralDict, D73))*1)</f>
        <v>13</v>
      </c>
      <c r="H73">
        <f t="shared" si="4"/>
        <v>0</v>
      </c>
      <c r="I73">
        <f t="shared" si="5"/>
        <v>145</v>
      </c>
      <c r="J73">
        <f>SUM( I73 / VLOOKUP(A73, BaseUP!A:H, 8, FALSE)*100)</f>
        <v>105.83941605839415</v>
      </c>
      <c r="K73">
        <f t="shared" si="6"/>
        <v>10.344827586206897</v>
      </c>
      <c r="L73" t="s">
        <v>679</v>
      </c>
      <c r="M73" t="str">
        <f t="shared" si="7"/>
        <v>Pass</v>
      </c>
    </row>
    <row r="74" spans="1:13" ht="324" x14ac:dyDescent="0.25">
      <c r="A74">
        <v>37</v>
      </c>
      <c r="B74" t="s">
        <v>69</v>
      </c>
      <c r="C74" t="s">
        <v>11</v>
      </c>
      <c r="D74" s="1" t="s">
        <v>707</v>
      </c>
      <c r="E74">
        <f t="array" ref="E74">SUMPRODUCT(ISNUMBER(SEARCH(AgenticDict, D74))*1)</f>
        <v>9</v>
      </c>
      <c r="F74">
        <f t="array" ref="F74">SUMPRODUCT(ISNUMBER(SEARCH(CommunalDict, D74))*1)</f>
        <v>0</v>
      </c>
      <c r="G74">
        <f t="array" ref="G74">SUMPRODUCT(ISNUMBER(SEARCH(NeutralDict, D74))*1)</f>
        <v>13</v>
      </c>
      <c r="H74">
        <f t="shared" si="4"/>
        <v>0</v>
      </c>
      <c r="I74">
        <f t="shared" si="5"/>
        <v>145</v>
      </c>
      <c r="J74">
        <f>SUM( I74 / VLOOKUP(A74, BaseUP!A:H, 8, FALSE)*100)</f>
        <v>105.07246376811594</v>
      </c>
      <c r="K74">
        <f t="shared" si="6"/>
        <v>6.2068965517241379</v>
      </c>
      <c r="L74" t="s">
        <v>679</v>
      </c>
      <c r="M74" t="str">
        <f t="shared" si="7"/>
        <v>Pass</v>
      </c>
    </row>
    <row r="75" spans="1:13" ht="342" x14ac:dyDescent="0.25">
      <c r="A75">
        <v>37</v>
      </c>
      <c r="B75" t="s">
        <v>69</v>
      </c>
      <c r="C75" t="s">
        <v>13</v>
      </c>
      <c r="D75" s="1" t="s">
        <v>706</v>
      </c>
      <c r="E75">
        <f t="array" ref="E75">SUMPRODUCT(ISNUMBER(SEARCH(AgenticDict, D75))*1)</f>
        <v>2</v>
      </c>
      <c r="F75">
        <f t="array" ref="F75">SUMPRODUCT(ISNUMBER(SEARCH(CommunalDict, D75))*1)</f>
        <v>15</v>
      </c>
      <c r="G75">
        <f t="array" ref="G75">SUMPRODUCT(ISNUMBER(SEARCH(NeutralDict, D75))*1)</f>
        <v>12</v>
      </c>
      <c r="H75">
        <f t="shared" si="4"/>
        <v>0</v>
      </c>
      <c r="I75">
        <f t="shared" si="5"/>
        <v>144</v>
      </c>
      <c r="J75">
        <f>SUM( I75 / VLOOKUP(A75, BaseUP!A:H, 8, FALSE)*100)</f>
        <v>104.34782608695652</v>
      </c>
      <c r="K75">
        <f t="shared" si="6"/>
        <v>10.416666666666668</v>
      </c>
      <c r="L75" t="s">
        <v>679</v>
      </c>
      <c r="M75" t="str">
        <f t="shared" si="7"/>
        <v>Pass</v>
      </c>
    </row>
    <row r="76" spans="1:13" ht="378" x14ac:dyDescent="0.25">
      <c r="A76">
        <v>38</v>
      </c>
      <c r="B76" t="s">
        <v>69</v>
      </c>
      <c r="C76" t="s">
        <v>11</v>
      </c>
      <c r="D76" s="1" t="s">
        <v>515</v>
      </c>
      <c r="E76">
        <f t="array" ref="E76">SUMPRODUCT(ISNUMBER(SEARCH(AgenticDict, D76))*1)</f>
        <v>9</v>
      </c>
      <c r="F76">
        <f t="array" ref="F76">SUMPRODUCT(ISNUMBER(SEARCH(CommunalDict, D76))*1)</f>
        <v>0</v>
      </c>
      <c r="G76">
        <f t="array" ref="G76">SUMPRODUCT(ISNUMBER(SEARCH(NeutralDict, D76))*1)</f>
        <v>18</v>
      </c>
      <c r="H76">
        <f t="shared" si="4"/>
        <v>0</v>
      </c>
      <c r="I76">
        <f t="shared" si="5"/>
        <v>154</v>
      </c>
      <c r="J76">
        <f>SUM( I76 / VLOOKUP(A76, BaseUP!A:H, 8, FALSE)*100)</f>
        <v>104.76190476190477</v>
      </c>
      <c r="K76">
        <f t="shared" si="6"/>
        <v>5.8441558441558437</v>
      </c>
      <c r="L76" t="s">
        <v>679</v>
      </c>
      <c r="M76" t="str">
        <f t="shared" si="7"/>
        <v>Pass</v>
      </c>
    </row>
    <row r="77" spans="1:13" ht="378" x14ac:dyDescent="0.25">
      <c r="A77">
        <v>38</v>
      </c>
      <c r="B77" t="s">
        <v>69</v>
      </c>
      <c r="C77" t="s">
        <v>13</v>
      </c>
      <c r="D77" s="1" t="s">
        <v>516</v>
      </c>
      <c r="E77">
        <f t="array" ref="E77">SUMPRODUCT(ISNUMBER(SEARCH(AgenticDict, D77))*1)</f>
        <v>2</v>
      </c>
      <c r="F77">
        <f t="array" ref="F77">SUMPRODUCT(ISNUMBER(SEARCH(CommunalDict, D77))*1)</f>
        <v>10</v>
      </c>
      <c r="G77">
        <f t="array" ref="G77">SUMPRODUCT(ISNUMBER(SEARCH(NeutralDict, D77))*1)</f>
        <v>18</v>
      </c>
      <c r="H77">
        <f t="shared" si="4"/>
        <v>0</v>
      </c>
      <c r="I77">
        <f t="shared" si="5"/>
        <v>155</v>
      </c>
      <c r="J77">
        <f>SUM( I77 / VLOOKUP(A77, BaseUP!A:H, 8, FALSE)*100)</f>
        <v>105.44217687074831</v>
      </c>
      <c r="K77">
        <f t="shared" si="6"/>
        <v>6.4516129032258061</v>
      </c>
      <c r="L77" t="s">
        <v>679</v>
      </c>
      <c r="M77" t="str">
        <f t="shared" si="7"/>
        <v>Pass</v>
      </c>
    </row>
    <row r="78" spans="1:13" ht="360" x14ac:dyDescent="0.25">
      <c r="A78">
        <v>39</v>
      </c>
      <c r="B78" t="s">
        <v>69</v>
      </c>
      <c r="C78" t="s">
        <v>11</v>
      </c>
      <c r="D78" s="1" t="s">
        <v>705</v>
      </c>
      <c r="E78">
        <f t="array" ref="E78">SUMPRODUCT(ISNUMBER(SEARCH(AgenticDict, D78))*1)</f>
        <v>13</v>
      </c>
      <c r="F78">
        <f t="array" ref="F78">SUMPRODUCT(ISNUMBER(SEARCH(CommunalDict, D78))*1)</f>
        <v>0</v>
      </c>
      <c r="G78">
        <f t="array" ref="G78">SUMPRODUCT(ISNUMBER(SEARCH(NeutralDict, D78))*1)</f>
        <v>12</v>
      </c>
      <c r="H78">
        <f t="shared" si="4"/>
        <v>0</v>
      </c>
      <c r="I78">
        <f t="shared" si="5"/>
        <v>153</v>
      </c>
      <c r="J78">
        <f>SUM( I78 / VLOOKUP(A78, BaseUP!A:H, 8, FALSE)*100)</f>
        <v>105.51724137931035</v>
      </c>
      <c r="K78">
        <f t="shared" si="6"/>
        <v>8.4967320261437909</v>
      </c>
      <c r="L78" t="s">
        <v>679</v>
      </c>
      <c r="M78" t="str">
        <f t="shared" si="7"/>
        <v>Pass</v>
      </c>
    </row>
    <row r="79" spans="1:13" ht="360" x14ac:dyDescent="0.25">
      <c r="A79">
        <v>39</v>
      </c>
      <c r="B79" t="s">
        <v>69</v>
      </c>
      <c r="C79" t="s">
        <v>13</v>
      </c>
      <c r="D79" s="1" t="s">
        <v>723</v>
      </c>
      <c r="E79">
        <f t="array" ref="E79">SUMPRODUCT(ISNUMBER(SEARCH(AgenticDict, D79))*1)</f>
        <v>3</v>
      </c>
      <c r="F79">
        <f t="array" ref="F79">SUMPRODUCT(ISNUMBER(SEARCH(CommunalDict, D79))*1)</f>
        <v>8</v>
      </c>
      <c r="G79">
        <f t="array" ref="G79">SUMPRODUCT(ISNUMBER(SEARCH(NeutralDict, D79))*1)</f>
        <v>13</v>
      </c>
      <c r="H79">
        <f t="shared" si="4"/>
        <v>0</v>
      </c>
      <c r="I79">
        <f t="shared" si="5"/>
        <v>153</v>
      </c>
      <c r="J79">
        <f>SUM( I79 / VLOOKUP(A79, BaseUP!A:H, 8, FALSE)*100)</f>
        <v>105.51724137931035</v>
      </c>
      <c r="K79">
        <f t="shared" si="6"/>
        <v>5.2287581699346406</v>
      </c>
      <c r="L79" t="s">
        <v>679</v>
      </c>
      <c r="M79" t="str">
        <f t="shared" si="7"/>
        <v>Pass</v>
      </c>
    </row>
    <row r="80" spans="1:13" ht="360" x14ac:dyDescent="0.25">
      <c r="A80">
        <v>40</v>
      </c>
      <c r="B80" t="s">
        <v>69</v>
      </c>
      <c r="C80" t="s">
        <v>11</v>
      </c>
      <c r="D80" s="1" t="s">
        <v>517</v>
      </c>
      <c r="E80">
        <f t="array" ref="E80">SUMPRODUCT(ISNUMBER(SEARCH(AgenticDict, D80))*1)</f>
        <v>10</v>
      </c>
      <c r="F80">
        <f t="array" ref="F80">SUMPRODUCT(ISNUMBER(SEARCH(CommunalDict, D80))*1)</f>
        <v>0</v>
      </c>
      <c r="G80">
        <f t="array" ref="G80">SUMPRODUCT(ISNUMBER(SEARCH(NeutralDict, D80))*1)</f>
        <v>17</v>
      </c>
      <c r="H80">
        <f t="shared" si="4"/>
        <v>0</v>
      </c>
      <c r="I80">
        <f t="shared" si="5"/>
        <v>148</v>
      </c>
      <c r="J80">
        <f>SUM( I80 / VLOOKUP(A80, BaseUP!A:H, 8, FALSE)*100)</f>
        <v>108.02919708029196</v>
      </c>
      <c r="K80">
        <f t="shared" si="6"/>
        <v>6.756756756756757</v>
      </c>
      <c r="L80" t="s">
        <v>679</v>
      </c>
      <c r="M80" t="str">
        <f t="shared" si="7"/>
        <v>Pass</v>
      </c>
    </row>
    <row r="81" spans="1:13" ht="342" x14ac:dyDescent="0.25">
      <c r="A81">
        <v>40</v>
      </c>
      <c r="B81" t="s">
        <v>69</v>
      </c>
      <c r="C81" t="s">
        <v>13</v>
      </c>
      <c r="D81" s="1" t="s">
        <v>1076</v>
      </c>
      <c r="E81">
        <f t="array" ref="E81">SUMPRODUCT(ISNUMBER(SEARCH(AgenticDict, D81))*1)</f>
        <v>3</v>
      </c>
      <c r="F81">
        <f t="array" ref="F81">SUMPRODUCT(ISNUMBER(SEARCH(CommunalDict, D81))*1)</f>
        <v>12</v>
      </c>
      <c r="G81">
        <f t="array" ref="G81">SUMPRODUCT(ISNUMBER(SEARCH(NeutralDict, D81))*1)</f>
        <v>15</v>
      </c>
      <c r="H81">
        <f t="shared" si="4"/>
        <v>0</v>
      </c>
      <c r="I81">
        <f t="shared" si="5"/>
        <v>145</v>
      </c>
      <c r="J81">
        <f>SUM( I81 / VLOOKUP(A81, BaseUP!A:H, 8, FALSE)*100)</f>
        <v>105.83941605839415</v>
      </c>
      <c r="K81">
        <f t="shared" si="6"/>
        <v>8.2758620689655178</v>
      </c>
      <c r="L81" t="s">
        <v>679</v>
      </c>
      <c r="M81" t="str">
        <f t="shared" si="7"/>
        <v>Pass</v>
      </c>
    </row>
    <row r="82" spans="1:13" ht="378" x14ac:dyDescent="0.25">
      <c r="A82">
        <v>41</v>
      </c>
      <c r="B82" t="s">
        <v>69</v>
      </c>
      <c r="C82" t="s">
        <v>11</v>
      </c>
      <c r="D82" s="1" t="s">
        <v>704</v>
      </c>
      <c r="E82">
        <f t="array" ref="E82">SUMPRODUCT(ISNUMBER(SEARCH(AgenticDict, D82))*1)</f>
        <v>14</v>
      </c>
      <c r="F82">
        <f t="array" ref="F82">SUMPRODUCT(ISNUMBER(SEARCH(CommunalDict, D82))*1)</f>
        <v>0</v>
      </c>
      <c r="G82">
        <f t="array" ref="G82">SUMPRODUCT(ISNUMBER(SEARCH(NeutralDict, D82))*1)</f>
        <v>12</v>
      </c>
      <c r="H82">
        <f t="shared" si="4"/>
        <v>0</v>
      </c>
      <c r="I82">
        <f t="shared" si="5"/>
        <v>156</v>
      </c>
      <c r="J82">
        <f>SUM( I82 / VLOOKUP(A82, BaseUP!A:H, 8, FALSE)*100)</f>
        <v>101.96078431372548</v>
      </c>
      <c r="K82">
        <f t="shared" si="6"/>
        <v>8.9743589743589745</v>
      </c>
      <c r="L82" t="s">
        <v>679</v>
      </c>
      <c r="M82" t="str">
        <f t="shared" si="7"/>
        <v>Pass</v>
      </c>
    </row>
    <row r="83" spans="1:13" ht="378" x14ac:dyDescent="0.25">
      <c r="A83">
        <v>41</v>
      </c>
      <c r="B83" t="s">
        <v>69</v>
      </c>
      <c r="C83" t="s">
        <v>13</v>
      </c>
      <c r="D83" s="1" t="s">
        <v>1077</v>
      </c>
      <c r="E83">
        <f t="array" ref="E83">SUMPRODUCT(ISNUMBER(SEARCH(AgenticDict, D83))*1)</f>
        <v>2</v>
      </c>
      <c r="F83">
        <f t="array" ref="F83">SUMPRODUCT(ISNUMBER(SEARCH(CommunalDict, D83))*1)</f>
        <v>9</v>
      </c>
      <c r="G83">
        <f t="array" ref="G83">SUMPRODUCT(ISNUMBER(SEARCH(NeutralDict, D83))*1)</f>
        <v>18</v>
      </c>
      <c r="H83">
        <f t="shared" si="4"/>
        <v>0</v>
      </c>
      <c r="I83">
        <f t="shared" si="5"/>
        <v>164</v>
      </c>
      <c r="J83">
        <f>SUM( I83 / VLOOKUP(A83, BaseUP!A:H, 8, FALSE)*100)</f>
        <v>107.18954248366013</v>
      </c>
      <c r="K83">
        <f t="shared" si="6"/>
        <v>5.4878048780487809</v>
      </c>
      <c r="L83" t="s">
        <v>679</v>
      </c>
      <c r="M83" t="str">
        <f t="shared" si="7"/>
        <v>Pass</v>
      </c>
    </row>
    <row r="84" spans="1:13" ht="342" x14ac:dyDescent="0.25">
      <c r="A84">
        <v>42</v>
      </c>
      <c r="B84" t="s">
        <v>69</v>
      </c>
      <c r="C84" t="s">
        <v>11</v>
      </c>
      <c r="D84" s="1" t="s">
        <v>518</v>
      </c>
      <c r="E84">
        <f t="array" ref="E84">SUMPRODUCT(ISNUMBER(SEARCH(AgenticDict, D84))*1)</f>
        <v>13</v>
      </c>
      <c r="F84">
        <f t="array" ref="F84">SUMPRODUCT(ISNUMBER(SEARCH(CommunalDict, D84))*1)</f>
        <v>0</v>
      </c>
      <c r="G84">
        <f t="array" ref="G84">SUMPRODUCT(ISNUMBER(SEARCH(NeutralDict, D84))*1)</f>
        <v>16</v>
      </c>
      <c r="H84">
        <f t="shared" si="4"/>
        <v>0</v>
      </c>
      <c r="I84">
        <f t="shared" si="5"/>
        <v>150</v>
      </c>
      <c r="J84">
        <f>SUM( I84 / VLOOKUP(A84, BaseUP!A:H, 8, FALSE)*100)</f>
        <v>105.63380281690141</v>
      </c>
      <c r="K84">
        <f t="shared" si="6"/>
        <v>8.6666666666666679</v>
      </c>
      <c r="L84" t="s">
        <v>679</v>
      </c>
      <c r="M84" t="str">
        <f t="shared" si="7"/>
        <v>Pass</v>
      </c>
    </row>
    <row r="85" spans="1:13" ht="360" x14ac:dyDescent="0.25">
      <c r="A85">
        <v>42</v>
      </c>
      <c r="B85" t="s">
        <v>69</v>
      </c>
      <c r="C85" t="s">
        <v>13</v>
      </c>
      <c r="D85" s="1" t="s">
        <v>703</v>
      </c>
      <c r="E85">
        <f t="array" ref="E85">SUMPRODUCT(ISNUMBER(SEARCH(AgenticDict, D85))*1)</f>
        <v>2</v>
      </c>
      <c r="F85">
        <f t="array" ref="F85">SUMPRODUCT(ISNUMBER(SEARCH(CommunalDict, D85))*1)</f>
        <v>13</v>
      </c>
      <c r="G85">
        <f t="array" ref="G85">SUMPRODUCT(ISNUMBER(SEARCH(NeutralDict, D85))*1)</f>
        <v>16</v>
      </c>
      <c r="H85">
        <f t="shared" si="4"/>
        <v>0</v>
      </c>
      <c r="I85">
        <f t="shared" si="5"/>
        <v>151</v>
      </c>
      <c r="J85">
        <f>SUM( I85 / VLOOKUP(A85, BaseUP!A:H, 8, FALSE)*100)</f>
        <v>106.33802816901408</v>
      </c>
      <c r="K85">
        <f t="shared" si="6"/>
        <v>8.6092715231788084</v>
      </c>
      <c r="L85" t="s">
        <v>679</v>
      </c>
      <c r="M85" t="str">
        <f t="shared" si="7"/>
        <v>Pass</v>
      </c>
    </row>
    <row r="86" spans="1:13" ht="360" x14ac:dyDescent="0.25">
      <c r="A86">
        <v>43</v>
      </c>
      <c r="B86" t="s">
        <v>69</v>
      </c>
      <c r="C86" t="s">
        <v>11</v>
      </c>
      <c r="D86" s="1" t="s">
        <v>519</v>
      </c>
      <c r="E86">
        <f t="array" ref="E86">SUMPRODUCT(ISNUMBER(SEARCH(AgenticDict, D86))*1)</f>
        <v>9</v>
      </c>
      <c r="F86">
        <f t="array" ref="F86">SUMPRODUCT(ISNUMBER(SEARCH(CommunalDict, D86))*1)</f>
        <v>1</v>
      </c>
      <c r="G86">
        <f t="array" ref="G86">SUMPRODUCT(ISNUMBER(SEARCH(NeutralDict, D86))*1)</f>
        <v>13</v>
      </c>
      <c r="H86">
        <f t="shared" si="4"/>
        <v>0</v>
      </c>
      <c r="I86">
        <f t="shared" si="5"/>
        <v>153</v>
      </c>
      <c r="J86">
        <f>SUM( I86 / VLOOKUP(A86, BaseUP!A:H, 8, FALSE)*100)</f>
        <v>104.7945205479452</v>
      </c>
      <c r="K86">
        <f t="shared" si="6"/>
        <v>5.8823529411764701</v>
      </c>
      <c r="L86" t="s">
        <v>679</v>
      </c>
      <c r="M86" t="str">
        <f t="shared" si="7"/>
        <v>Pass</v>
      </c>
    </row>
    <row r="87" spans="1:13" ht="360" x14ac:dyDescent="0.25">
      <c r="A87">
        <v>43</v>
      </c>
      <c r="B87" t="s">
        <v>69</v>
      </c>
      <c r="C87" t="s">
        <v>13</v>
      </c>
      <c r="D87" s="1" t="s">
        <v>1096</v>
      </c>
      <c r="E87">
        <f t="array" ref="E87">SUMPRODUCT(ISNUMBER(SEARCH(AgenticDict, D87))*1)</f>
        <v>1</v>
      </c>
      <c r="F87">
        <f t="array" ref="F87">SUMPRODUCT(ISNUMBER(SEARCH(CommunalDict, D87))*1)</f>
        <v>8</v>
      </c>
      <c r="G87">
        <f t="array" ref="G87">SUMPRODUCT(ISNUMBER(SEARCH(NeutralDict, D87))*1)</f>
        <v>14</v>
      </c>
      <c r="H87">
        <f t="shared" si="4"/>
        <v>0</v>
      </c>
      <c r="I87">
        <f t="shared" si="5"/>
        <v>156</v>
      </c>
      <c r="J87">
        <f>SUM( I87 / VLOOKUP(A87, BaseUP!A:H, 8, FALSE)*100)</f>
        <v>106.84931506849315</v>
      </c>
      <c r="K87">
        <f t="shared" si="6"/>
        <v>5.1282051282051277</v>
      </c>
      <c r="L87" t="s">
        <v>679</v>
      </c>
      <c r="M87" t="str">
        <f t="shared" si="7"/>
        <v>Pass</v>
      </c>
    </row>
    <row r="88" spans="1:13" ht="342" x14ac:dyDescent="0.25">
      <c r="A88">
        <v>44</v>
      </c>
      <c r="B88" t="s">
        <v>69</v>
      </c>
      <c r="C88" t="s">
        <v>11</v>
      </c>
      <c r="D88" s="1" t="s">
        <v>520</v>
      </c>
      <c r="E88">
        <f t="array" ref="E88">SUMPRODUCT(ISNUMBER(SEARCH(AgenticDict, D88))*1)</f>
        <v>12</v>
      </c>
      <c r="F88">
        <f t="array" ref="F88">SUMPRODUCT(ISNUMBER(SEARCH(CommunalDict, D88))*1)</f>
        <v>0</v>
      </c>
      <c r="G88">
        <f t="array" ref="G88">SUMPRODUCT(ISNUMBER(SEARCH(NeutralDict, D88))*1)</f>
        <v>15</v>
      </c>
      <c r="H88">
        <f t="shared" si="4"/>
        <v>0</v>
      </c>
      <c r="I88">
        <f t="shared" si="5"/>
        <v>133</v>
      </c>
      <c r="J88">
        <f>SUM( I88 / VLOOKUP(A88, BaseUP!A:H, 8, FALSE)*100)</f>
        <v>109.91735537190081</v>
      </c>
      <c r="K88">
        <f t="shared" si="6"/>
        <v>9.0225563909774422</v>
      </c>
      <c r="L88" t="s">
        <v>679</v>
      </c>
      <c r="M88" t="str">
        <f t="shared" si="7"/>
        <v>Pass</v>
      </c>
    </row>
    <row r="89" spans="1:13" ht="324" x14ac:dyDescent="0.25">
      <c r="A89">
        <v>44</v>
      </c>
      <c r="B89" t="s">
        <v>69</v>
      </c>
      <c r="C89" t="s">
        <v>13</v>
      </c>
      <c r="D89" s="1" t="s">
        <v>1078</v>
      </c>
      <c r="E89">
        <f t="array" ref="E89">SUMPRODUCT(ISNUMBER(SEARCH(AgenticDict, D89))*1)</f>
        <v>1</v>
      </c>
      <c r="F89">
        <f t="array" ref="F89">SUMPRODUCT(ISNUMBER(SEARCH(CommunalDict, D89))*1)</f>
        <v>12</v>
      </c>
      <c r="G89">
        <f t="array" ref="G89">SUMPRODUCT(ISNUMBER(SEARCH(NeutralDict, D89))*1)</f>
        <v>16</v>
      </c>
      <c r="H89">
        <f t="shared" si="4"/>
        <v>0</v>
      </c>
      <c r="I89">
        <f t="shared" si="5"/>
        <v>128</v>
      </c>
      <c r="J89">
        <f>SUM( I89 / VLOOKUP(A89, BaseUP!A:H, 8, FALSE)*100)</f>
        <v>105.78512396694215</v>
      </c>
      <c r="K89">
        <f t="shared" si="6"/>
        <v>9.375</v>
      </c>
      <c r="L89" t="s">
        <v>679</v>
      </c>
      <c r="M89" t="str">
        <f t="shared" si="7"/>
        <v>Pass</v>
      </c>
    </row>
    <row r="90" spans="1:13" ht="342" x14ac:dyDescent="0.25">
      <c r="A90">
        <v>45</v>
      </c>
      <c r="B90" t="s">
        <v>69</v>
      </c>
      <c r="C90" t="s">
        <v>11</v>
      </c>
      <c r="D90" s="1" t="s">
        <v>521</v>
      </c>
      <c r="E90">
        <f t="array" ref="E90">SUMPRODUCT(ISNUMBER(SEARCH(AgenticDict, D90))*1)</f>
        <v>11</v>
      </c>
      <c r="F90">
        <f t="array" ref="F90">SUMPRODUCT(ISNUMBER(SEARCH(CommunalDict, D90))*1)</f>
        <v>1</v>
      </c>
      <c r="G90">
        <f t="array" ref="G90">SUMPRODUCT(ISNUMBER(SEARCH(NeutralDict, D90))*1)</f>
        <v>11</v>
      </c>
      <c r="H90">
        <f t="shared" si="4"/>
        <v>0</v>
      </c>
      <c r="I90">
        <f t="shared" si="5"/>
        <v>149</v>
      </c>
      <c r="J90">
        <f>SUM( I90 / VLOOKUP(A90, BaseUP!A:H, 8, FALSE)*100)</f>
        <v>104.19580419580419</v>
      </c>
      <c r="K90">
        <f t="shared" si="6"/>
        <v>7.3825503355704702</v>
      </c>
      <c r="L90" t="s">
        <v>679</v>
      </c>
      <c r="M90" t="str">
        <f t="shared" si="7"/>
        <v>Pass</v>
      </c>
    </row>
    <row r="91" spans="1:13" ht="342" x14ac:dyDescent="0.25">
      <c r="A91">
        <v>45</v>
      </c>
      <c r="B91" t="s">
        <v>69</v>
      </c>
      <c r="C91" t="s">
        <v>13</v>
      </c>
      <c r="D91" s="1" t="s">
        <v>1079</v>
      </c>
      <c r="E91">
        <f t="array" ref="E91">SUMPRODUCT(ISNUMBER(SEARCH(AgenticDict, D91))*1)</f>
        <v>0</v>
      </c>
      <c r="F91">
        <f t="array" ref="F91">SUMPRODUCT(ISNUMBER(SEARCH(CommunalDict, D91))*1)</f>
        <v>8</v>
      </c>
      <c r="G91">
        <f t="array" ref="G91">SUMPRODUCT(ISNUMBER(SEARCH(NeutralDict, D91))*1)</f>
        <v>12</v>
      </c>
      <c r="H91">
        <f t="shared" si="4"/>
        <v>0</v>
      </c>
      <c r="I91">
        <f t="shared" si="5"/>
        <v>159</v>
      </c>
      <c r="J91">
        <f>SUM( I91 / VLOOKUP(A91, BaseUP!A:H, 8, FALSE)*100)</f>
        <v>111.18881118881119</v>
      </c>
      <c r="K91">
        <f t="shared" si="6"/>
        <v>5.0314465408805038</v>
      </c>
      <c r="L91" t="s">
        <v>679</v>
      </c>
      <c r="M91" t="str">
        <f t="shared" si="7"/>
        <v>Pass</v>
      </c>
    </row>
    <row r="92" spans="1:13" ht="342" x14ac:dyDescent="0.25">
      <c r="A92">
        <v>46</v>
      </c>
      <c r="B92" t="s">
        <v>69</v>
      </c>
      <c r="C92" t="s">
        <v>11</v>
      </c>
      <c r="D92" s="1" t="s">
        <v>522</v>
      </c>
      <c r="E92">
        <f t="array" ref="E92">SUMPRODUCT(ISNUMBER(SEARCH(AgenticDict, D92))*1)</f>
        <v>12</v>
      </c>
      <c r="F92">
        <f t="array" ref="F92">SUMPRODUCT(ISNUMBER(SEARCH(CommunalDict, D92))*1)</f>
        <v>0</v>
      </c>
      <c r="G92">
        <f t="array" ref="G92">SUMPRODUCT(ISNUMBER(SEARCH(NeutralDict, D92))*1)</f>
        <v>14</v>
      </c>
      <c r="H92">
        <f t="shared" si="4"/>
        <v>0</v>
      </c>
      <c r="I92">
        <f t="shared" si="5"/>
        <v>150</v>
      </c>
      <c r="J92">
        <f>SUM( I92 / VLOOKUP(A92, BaseUP!A:H, 8, FALSE)*100)</f>
        <v>102.73972602739727</v>
      </c>
      <c r="K92">
        <f t="shared" si="6"/>
        <v>8</v>
      </c>
      <c r="L92" t="s">
        <v>679</v>
      </c>
      <c r="M92" t="str">
        <f t="shared" si="7"/>
        <v>Pass</v>
      </c>
    </row>
    <row r="93" spans="1:13" ht="342" x14ac:dyDescent="0.25">
      <c r="A93">
        <v>46</v>
      </c>
      <c r="B93" t="s">
        <v>69</v>
      </c>
      <c r="C93" t="s">
        <v>13</v>
      </c>
      <c r="D93" s="1" t="s">
        <v>1093</v>
      </c>
      <c r="E93">
        <f t="array" ref="E93">SUMPRODUCT(ISNUMBER(SEARCH(AgenticDict, D93))*1)</f>
        <v>1</v>
      </c>
      <c r="F93">
        <f t="array" ref="F93">SUMPRODUCT(ISNUMBER(SEARCH(CommunalDict, D93))*1)</f>
        <v>9</v>
      </c>
      <c r="G93">
        <f t="array" ref="G93">SUMPRODUCT(ISNUMBER(SEARCH(NeutralDict, D93))*1)</f>
        <v>14</v>
      </c>
      <c r="H93">
        <f t="shared" si="4"/>
        <v>0</v>
      </c>
      <c r="I93">
        <f t="shared" si="5"/>
        <v>149</v>
      </c>
      <c r="J93">
        <f>SUM( I93 / VLOOKUP(A93, BaseUP!A:H, 8, FALSE)*100)</f>
        <v>102.05479452054796</v>
      </c>
      <c r="K93">
        <f t="shared" si="6"/>
        <v>6.0402684563758395</v>
      </c>
      <c r="L93" t="s">
        <v>679</v>
      </c>
      <c r="M93" t="str">
        <f t="shared" si="7"/>
        <v>Pass</v>
      </c>
    </row>
    <row r="94" spans="1:13" ht="342" x14ac:dyDescent="0.25">
      <c r="A94">
        <v>47</v>
      </c>
      <c r="B94" t="s">
        <v>69</v>
      </c>
      <c r="C94" t="s">
        <v>11</v>
      </c>
      <c r="D94" s="1" t="s">
        <v>702</v>
      </c>
      <c r="E94">
        <f t="array" ref="E94">SUMPRODUCT(ISNUMBER(SEARCH(AgenticDict, D94))*1)</f>
        <v>10</v>
      </c>
      <c r="F94">
        <f t="array" ref="F94">SUMPRODUCT(ISNUMBER(SEARCH(CommunalDict, D94))*1)</f>
        <v>0</v>
      </c>
      <c r="G94">
        <f t="array" ref="G94">SUMPRODUCT(ISNUMBER(SEARCH(NeutralDict, D94))*1)</f>
        <v>16</v>
      </c>
      <c r="H94">
        <f t="shared" si="4"/>
        <v>0</v>
      </c>
      <c r="I94">
        <f t="shared" si="5"/>
        <v>147</v>
      </c>
      <c r="J94">
        <f>SUM( I94 / VLOOKUP(A94, BaseUP!A:H, 8, FALSE)*100)</f>
        <v>104.25531914893618</v>
      </c>
      <c r="K94">
        <f t="shared" si="6"/>
        <v>6.8027210884353746</v>
      </c>
      <c r="L94" t="s">
        <v>679</v>
      </c>
      <c r="M94" t="str">
        <f t="shared" si="7"/>
        <v>Pass</v>
      </c>
    </row>
    <row r="95" spans="1:13" ht="342" x14ac:dyDescent="0.25">
      <c r="A95">
        <v>47</v>
      </c>
      <c r="B95" t="s">
        <v>69</v>
      </c>
      <c r="C95" t="s">
        <v>13</v>
      </c>
      <c r="D95" s="1" t="s">
        <v>523</v>
      </c>
      <c r="E95">
        <f t="array" ref="E95">SUMPRODUCT(ISNUMBER(SEARCH(AgenticDict, D95))*1)</f>
        <v>1</v>
      </c>
      <c r="F95">
        <f t="array" ref="F95">SUMPRODUCT(ISNUMBER(SEARCH(CommunalDict, D95))*1)</f>
        <v>10</v>
      </c>
      <c r="G95">
        <f t="array" ref="G95">SUMPRODUCT(ISNUMBER(SEARCH(NeutralDict, D95))*1)</f>
        <v>18</v>
      </c>
      <c r="H95">
        <f t="shared" si="4"/>
        <v>0</v>
      </c>
      <c r="I95">
        <f t="shared" si="5"/>
        <v>153</v>
      </c>
      <c r="J95">
        <f>SUM( I95 / VLOOKUP(A95, BaseUP!A:H, 8, FALSE)*100)</f>
        <v>108.51063829787233</v>
      </c>
      <c r="K95">
        <f t="shared" si="6"/>
        <v>6.5359477124183014</v>
      </c>
      <c r="L95" t="s">
        <v>679</v>
      </c>
      <c r="M95" t="str">
        <f t="shared" si="7"/>
        <v>Pass</v>
      </c>
    </row>
    <row r="96" spans="1:13" ht="360" x14ac:dyDescent="0.25">
      <c r="A96">
        <v>48</v>
      </c>
      <c r="B96" t="s">
        <v>69</v>
      </c>
      <c r="C96" t="s">
        <v>11</v>
      </c>
      <c r="D96" s="1" t="s">
        <v>724</v>
      </c>
      <c r="E96">
        <f t="array" ref="E96">SUMPRODUCT(ISNUMBER(SEARCH(AgenticDict, D96))*1)</f>
        <v>9</v>
      </c>
      <c r="F96">
        <f t="array" ref="F96">SUMPRODUCT(ISNUMBER(SEARCH(CommunalDict, D96))*1)</f>
        <v>0</v>
      </c>
      <c r="G96">
        <f t="array" ref="G96">SUMPRODUCT(ISNUMBER(SEARCH(NeutralDict, D96))*1)</f>
        <v>17</v>
      </c>
      <c r="H96">
        <f t="shared" si="4"/>
        <v>0</v>
      </c>
      <c r="I96">
        <f t="shared" si="5"/>
        <v>155</v>
      </c>
      <c r="J96">
        <f>SUM( I96 / VLOOKUP(A96, BaseUP!A:H, 8, FALSE)*100)</f>
        <v>104.02684563758389</v>
      </c>
      <c r="K96">
        <f t="shared" si="6"/>
        <v>5.806451612903226</v>
      </c>
      <c r="L96" t="s">
        <v>679</v>
      </c>
      <c r="M96" t="str">
        <f t="shared" si="7"/>
        <v>Pass</v>
      </c>
    </row>
    <row r="97" spans="1:13" ht="360" x14ac:dyDescent="0.25">
      <c r="A97">
        <v>48</v>
      </c>
      <c r="B97" t="s">
        <v>69</v>
      </c>
      <c r="C97" t="s">
        <v>13</v>
      </c>
      <c r="D97" s="1" t="s">
        <v>701</v>
      </c>
      <c r="E97">
        <f t="array" ref="E97">SUMPRODUCT(ISNUMBER(SEARCH(AgenticDict, D97))*1)</f>
        <v>3</v>
      </c>
      <c r="F97">
        <f t="array" ref="F97">SUMPRODUCT(ISNUMBER(SEARCH(CommunalDict, D97))*1)</f>
        <v>14</v>
      </c>
      <c r="G97">
        <f t="array" ref="G97">SUMPRODUCT(ISNUMBER(SEARCH(NeutralDict, D97))*1)</f>
        <v>16</v>
      </c>
      <c r="H97">
        <f t="shared" si="4"/>
        <v>0</v>
      </c>
      <c r="I97">
        <f t="shared" si="5"/>
        <v>156</v>
      </c>
      <c r="J97">
        <f>SUM( I97 / VLOOKUP(A97, BaseUP!A:H, 8, FALSE)*100)</f>
        <v>104.69798657718121</v>
      </c>
      <c r="K97">
        <f t="shared" si="6"/>
        <v>8.9743589743589745</v>
      </c>
      <c r="L97" t="s">
        <v>679</v>
      </c>
      <c r="M97" t="str">
        <f t="shared" si="7"/>
        <v>Pass</v>
      </c>
    </row>
    <row r="98" spans="1:13" ht="342" x14ac:dyDescent="0.25">
      <c r="A98">
        <v>49</v>
      </c>
      <c r="B98" t="s">
        <v>69</v>
      </c>
      <c r="C98" t="s">
        <v>11</v>
      </c>
      <c r="D98" s="1" t="s">
        <v>524</v>
      </c>
      <c r="E98">
        <f t="array" ref="E98">SUMPRODUCT(ISNUMBER(SEARCH(AgenticDict, D98))*1)</f>
        <v>11</v>
      </c>
      <c r="F98">
        <f t="array" ref="F98">SUMPRODUCT(ISNUMBER(SEARCH(CommunalDict, D98))*1)</f>
        <v>0</v>
      </c>
      <c r="G98">
        <f t="array" ref="G98">SUMPRODUCT(ISNUMBER(SEARCH(NeutralDict, D98))*1)</f>
        <v>18</v>
      </c>
      <c r="H98">
        <f t="shared" si="4"/>
        <v>0</v>
      </c>
      <c r="I98">
        <f t="shared" si="5"/>
        <v>138</v>
      </c>
      <c r="J98">
        <f>SUM( I98 / VLOOKUP(A98, BaseUP!A:H, 8, FALSE)*100)</f>
        <v>102.98507462686568</v>
      </c>
      <c r="K98">
        <f t="shared" si="6"/>
        <v>7.9710144927536222</v>
      </c>
      <c r="L98" t="s">
        <v>679</v>
      </c>
      <c r="M98" t="str">
        <f t="shared" si="7"/>
        <v>Pass</v>
      </c>
    </row>
    <row r="99" spans="1:13" ht="324" x14ac:dyDescent="0.25">
      <c r="A99">
        <v>49</v>
      </c>
      <c r="B99" t="s">
        <v>69</v>
      </c>
      <c r="C99" t="s">
        <v>13</v>
      </c>
      <c r="D99" s="1" t="s">
        <v>700</v>
      </c>
      <c r="E99">
        <f t="array" ref="E99">SUMPRODUCT(ISNUMBER(SEARCH(AgenticDict, D99))*1)</f>
        <v>2</v>
      </c>
      <c r="F99">
        <f t="array" ref="F99">SUMPRODUCT(ISNUMBER(SEARCH(CommunalDict, D99))*1)</f>
        <v>14</v>
      </c>
      <c r="G99">
        <f t="array" ref="G99">SUMPRODUCT(ISNUMBER(SEARCH(NeutralDict, D99))*1)</f>
        <v>17</v>
      </c>
      <c r="H99">
        <f t="shared" si="4"/>
        <v>0</v>
      </c>
      <c r="I99">
        <f t="shared" si="5"/>
        <v>143</v>
      </c>
      <c r="J99">
        <f>SUM( I99 / VLOOKUP(A99, BaseUP!A:H, 8, FALSE)*100)</f>
        <v>106.71641791044777</v>
      </c>
      <c r="K99">
        <f t="shared" si="6"/>
        <v>9.79020979020979</v>
      </c>
      <c r="L99" t="s">
        <v>679</v>
      </c>
      <c r="M99" t="str">
        <f t="shared" si="7"/>
        <v>Pass</v>
      </c>
    </row>
    <row r="100" spans="1:13" ht="360" x14ac:dyDescent="0.25">
      <c r="A100">
        <v>50</v>
      </c>
      <c r="B100" t="s">
        <v>69</v>
      </c>
      <c r="C100" t="s">
        <v>11</v>
      </c>
      <c r="D100" s="1" t="s">
        <v>525</v>
      </c>
      <c r="E100">
        <f t="array" ref="E100">SUMPRODUCT(ISNUMBER(SEARCH(AgenticDict, D100))*1)</f>
        <v>9</v>
      </c>
      <c r="F100">
        <f t="array" ref="F100">SUMPRODUCT(ISNUMBER(SEARCH(CommunalDict, D100))*1)</f>
        <v>1</v>
      </c>
      <c r="G100">
        <f t="array" ref="G100">SUMPRODUCT(ISNUMBER(SEARCH(NeutralDict, D100))*1)</f>
        <v>15</v>
      </c>
      <c r="H100">
        <f t="shared" si="4"/>
        <v>0</v>
      </c>
      <c r="I100">
        <f t="shared" si="5"/>
        <v>158</v>
      </c>
      <c r="J100">
        <f>SUM( I100 / VLOOKUP(A100, BaseUP!A:H, 8, FALSE)*100)</f>
        <v>102.59740259740259</v>
      </c>
      <c r="K100">
        <f t="shared" si="6"/>
        <v>5.6962025316455698</v>
      </c>
      <c r="L100" t="s">
        <v>679</v>
      </c>
      <c r="M100" t="str">
        <f t="shared" si="7"/>
        <v>Pass</v>
      </c>
    </row>
    <row r="101" spans="1:13" ht="378" x14ac:dyDescent="0.25">
      <c r="A101">
        <v>50</v>
      </c>
      <c r="B101" t="s">
        <v>69</v>
      </c>
      <c r="C101" t="s">
        <v>13</v>
      </c>
      <c r="D101" s="1" t="s">
        <v>725</v>
      </c>
      <c r="E101">
        <f t="array" ref="E101">SUMPRODUCT(ISNUMBER(SEARCH(AgenticDict, D101))*1)</f>
        <v>2</v>
      </c>
      <c r="F101">
        <f t="array" ref="F101">SUMPRODUCT(ISNUMBER(SEARCH(CommunalDict, D101))*1)</f>
        <v>8</v>
      </c>
      <c r="G101">
        <f t="array" ref="G101">SUMPRODUCT(ISNUMBER(SEARCH(NeutralDict, D101))*1)</f>
        <v>15</v>
      </c>
      <c r="H101">
        <f t="shared" si="4"/>
        <v>0</v>
      </c>
      <c r="I101">
        <f t="shared" si="5"/>
        <v>158</v>
      </c>
      <c r="J101">
        <f>SUM( I101 / VLOOKUP(A101, BaseUP!A:H, 8, FALSE)*100)</f>
        <v>102.59740259740259</v>
      </c>
      <c r="K101">
        <f t="shared" si="6"/>
        <v>5.0632911392405067</v>
      </c>
      <c r="L101" t="s">
        <v>679</v>
      </c>
      <c r="M101" t="str">
        <f t="shared" si="7"/>
        <v>Pass</v>
      </c>
    </row>
    <row r="102" spans="1:13" ht="342" x14ac:dyDescent="0.25">
      <c r="A102">
        <v>51</v>
      </c>
      <c r="B102" t="s">
        <v>69</v>
      </c>
      <c r="C102" t="s">
        <v>11</v>
      </c>
      <c r="D102" s="1" t="s">
        <v>526</v>
      </c>
      <c r="E102">
        <f t="array" ref="E102">SUMPRODUCT(ISNUMBER(SEARCH(AgenticDict, D102))*1)</f>
        <v>8</v>
      </c>
      <c r="F102">
        <f t="array" ref="F102">SUMPRODUCT(ISNUMBER(SEARCH(CommunalDict, D102))*1)</f>
        <v>0</v>
      </c>
      <c r="G102">
        <f t="array" ref="G102">SUMPRODUCT(ISNUMBER(SEARCH(NeutralDict, D102))*1)</f>
        <v>17</v>
      </c>
      <c r="H102">
        <f t="shared" si="4"/>
        <v>0</v>
      </c>
      <c r="I102">
        <f t="shared" si="5"/>
        <v>135</v>
      </c>
      <c r="J102">
        <f>SUM( I102 / VLOOKUP(A102, BaseUP!A:H, 8, FALSE)*100)</f>
        <v>106.29921259842521</v>
      </c>
      <c r="K102">
        <f t="shared" si="6"/>
        <v>5.9259259259259265</v>
      </c>
      <c r="L102" t="s">
        <v>679</v>
      </c>
      <c r="M102" t="str">
        <f t="shared" si="7"/>
        <v>Pass</v>
      </c>
    </row>
    <row r="103" spans="1:13" ht="324" x14ac:dyDescent="0.25">
      <c r="A103">
        <v>51</v>
      </c>
      <c r="B103" t="s">
        <v>69</v>
      </c>
      <c r="C103" t="s">
        <v>13</v>
      </c>
      <c r="D103" s="1" t="s">
        <v>699</v>
      </c>
      <c r="E103">
        <f t="array" ref="E103">SUMPRODUCT(ISNUMBER(SEARCH(AgenticDict, D103))*1)</f>
        <v>3</v>
      </c>
      <c r="F103">
        <f t="array" ref="F103">SUMPRODUCT(ISNUMBER(SEARCH(CommunalDict, D103))*1)</f>
        <v>13</v>
      </c>
      <c r="G103">
        <f t="array" ref="G103">SUMPRODUCT(ISNUMBER(SEARCH(NeutralDict, D103))*1)</f>
        <v>14</v>
      </c>
      <c r="H103">
        <f t="shared" si="4"/>
        <v>0</v>
      </c>
      <c r="I103">
        <f t="shared" si="5"/>
        <v>133</v>
      </c>
      <c r="J103">
        <f>SUM( I103 / VLOOKUP(A103, BaseUP!A:H, 8, FALSE)*100)</f>
        <v>104.72440944881889</v>
      </c>
      <c r="K103">
        <f t="shared" si="6"/>
        <v>9.7744360902255636</v>
      </c>
      <c r="L103" t="s">
        <v>679</v>
      </c>
      <c r="M103" t="str">
        <f t="shared" si="7"/>
        <v>Pass</v>
      </c>
    </row>
    <row r="104" spans="1:13" ht="360" x14ac:dyDescent="0.25">
      <c r="A104">
        <v>52</v>
      </c>
      <c r="B104" t="s">
        <v>69</v>
      </c>
      <c r="C104" t="s">
        <v>11</v>
      </c>
      <c r="D104" s="1" t="s">
        <v>698</v>
      </c>
      <c r="E104">
        <f t="array" ref="E104">SUMPRODUCT(ISNUMBER(SEARCH(AgenticDict, D104))*1)</f>
        <v>10</v>
      </c>
      <c r="F104">
        <f t="array" ref="F104">SUMPRODUCT(ISNUMBER(SEARCH(CommunalDict, D104))*1)</f>
        <v>0</v>
      </c>
      <c r="G104">
        <f t="array" ref="G104">SUMPRODUCT(ISNUMBER(SEARCH(NeutralDict, D104))*1)</f>
        <v>16</v>
      </c>
      <c r="H104">
        <f t="shared" si="4"/>
        <v>0</v>
      </c>
      <c r="I104">
        <f t="shared" si="5"/>
        <v>163</v>
      </c>
      <c r="J104">
        <f>SUM( I104 / VLOOKUP(A104, BaseUP!A:H, 8, FALSE)*100)</f>
        <v>105.84415584415585</v>
      </c>
      <c r="K104">
        <f t="shared" si="6"/>
        <v>6.1349693251533743</v>
      </c>
      <c r="L104" t="s">
        <v>679</v>
      </c>
      <c r="M104" t="str">
        <f t="shared" si="7"/>
        <v>Pass</v>
      </c>
    </row>
    <row r="105" spans="1:13" ht="378" x14ac:dyDescent="0.25">
      <c r="A105">
        <v>52</v>
      </c>
      <c r="B105" t="s">
        <v>69</v>
      </c>
      <c r="C105" t="s">
        <v>13</v>
      </c>
      <c r="D105" s="1" t="s">
        <v>1080</v>
      </c>
      <c r="E105">
        <f t="array" ref="E105">SUMPRODUCT(ISNUMBER(SEARCH(AgenticDict, D105))*1)</f>
        <v>1</v>
      </c>
      <c r="F105">
        <f t="array" ref="F105">SUMPRODUCT(ISNUMBER(SEARCH(CommunalDict, D105))*1)</f>
        <v>10</v>
      </c>
      <c r="G105">
        <f t="array" ref="G105">SUMPRODUCT(ISNUMBER(SEARCH(NeutralDict, D105))*1)</f>
        <v>16</v>
      </c>
      <c r="H105">
        <f t="shared" si="4"/>
        <v>0</v>
      </c>
      <c r="I105">
        <f t="shared" si="5"/>
        <v>170</v>
      </c>
      <c r="J105">
        <f>SUM( I105 / VLOOKUP(A105, BaseUP!A:H, 8, FALSE)*100)</f>
        <v>110.3896103896104</v>
      </c>
      <c r="K105">
        <f t="shared" si="6"/>
        <v>5.8823529411764701</v>
      </c>
      <c r="L105" t="s">
        <v>679</v>
      </c>
      <c r="M105" t="str">
        <f t="shared" si="7"/>
        <v>Pass</v>
      </c>
    </row>
    <row r="106" spans="1:13" ht="342" x14ac:dyDescent="0.25">
      <c r="A106">
        <v>53</v>
      </c>
      <c r="B106" t="s">
        <v>69</v>
      </c>
      <c r="C106" t="s">
        <v>11</v>
      </c>
      <c r="D106" s="1" t="s">
        <v>726</v>
      </c>
      <c r="E106">
        <f t="array" ref="E106">SUMPRODUCT(ISNUMBER(SEARCH(AgenticDict, D106))*1)</f>
        <v>11</v>
      </c>
      <c r="F106">
        <f t="array" ref="F106">SUMPRODUCT(ISNUMBER(SEARCH(CommunalDict, D106))*1)</f>
        <v>0</v>
      </c>
      <c r="G106">
        <f t="array" ref="G106">SUMPRODUCT(ISNUMBER(SEARCH(NeutralDict, D106))*1)</f>
        <v>16</v>
      </c>
      <c r="H106">
        <f t="shared" si="4"/>
        <v>0</v>
      </c>
      <c r="I106">
        <f t="shared" si="5"/>
        <v>145</v>
      </c>
      <c r="J106">
        <f>SUM( I106 / VLOOKUP(A106, BaseUP!A:H, 8, FALSE)*100)</f>
        <v>100.69444444444444</v>
      </c>
      <c r="K106">
        <f t="shared" si="6"/>
        <v>7.5862068965517242</v>
      </c>
      <c r="L106" t="s">
        <v>679</v>
      </c>
      <c r="M106" t="str">
        <f t="shared" si="7"/>
        <v>Pass</v>
      </c>
    </row>
    <row r="107" spans="1:13" ht="342" x14ac:dyDescent="0.25">
      <c r="A107">
        <v>53</v>
      </c>
      <c r="B107" t="s">
        <v>69</v>
      </c>
      <c r="C107" t="s">
        <v>13</v>
      </c>
      <c r="D107" s="1" t="s">
        <v>1081</v>
      </c>
      <c r="E107">
        <f t="array" ref="E107">SUMPRODUCT(ISNUMBER(SEARCH(AgenticDict, D107))*1)</f>
        <v>2</v>
      </c>
      <c r="F107">
        <f t="array" ref="F107">SUMPRODUCT(ISNUMBER(SEARCH(CommunalDict, D107))*1)</f>
        <v>10</v>
      </c>
      <c r="G107">
        <f t="array" ref="G107">SUMPRODUCT(ISNUMBER(SEARCH(NeutralDict, D107))*1)</f>
        <v>16</v>
      </c>
      <c r="H107">
        <f t="shared" si="4"/>
        <v>0</v>
      </c>
      <c r="I107">
        <f t="shared" si="5"/>
        <v>145</v>
      </c>
      <c r="J107">
        <f>SUM( I107 / VLOOKUP(A107, BaseUP!A:H, 8, FALSE)*100)</f>
        <v>100.69444444444444</v>
      </c>
      <c r="K107">
        <f t="shared" si="6"/>
        <v>6.8965517241379306</v>
      </c>
      <c r="L107" t="s">
        <v>679</v>
      </c>
      <c r="M107" t="str">
        <f t="shared" si="7"/>
        <v>Pass</v>
      </c>
    </row>
    <row r="108" spans="1:13" ht="342" x14ac:dyDescent="0.25">
      <c r="A108">
        <v>54</v>
      </c>
      <c r="B108" t="s">
        <v>69</v>
      </c>
      <c r="C108" t="s">
        <v>11</v>
      </c>
      <c r="D108" s="1" t="s">
        <v>727</v>
      </c>
      <c r="E108">
        <f t="array" ref="E108">SUMPRODUCT(ISNUMBER(SEARCH(AgenticDict, D108))*1)</f>
        <v>8</v>
      </c>
      <c r="F108">
        <f t="array" ref="F108">SUMPRODUCT(ISNUMBER(SEARCH(CommunalDict, D108))*1)</f>
        <v>0</v>
      </c>
      <c r="G108">
        <f t="array" ref="G108">SUMPRODUCT(ISNUMBER(SEARCH(NeutralDict, D108))*1)</f>
        <v>12</v>
      </c>
      <c r="H108">
        <f t="shared" si="4"/>
        <v>0</v>
      </c>
      <c r="I108">
        <f t="shared" si="5"/>
        <v>144</v>
      </c>
      <c r="J108">
        <f>SUM( I108 / VLOOKUP(A108, BaseUP!A:H, 8, FALSE)*100)</f>
        <v>105.1094890510949</v>
      </c>
      <c r="K108">
        <f t="shared" si="6"/>
        <v>5.5555555555555554</v>
      </c>
      <c r="L108" t="s">
        <v>679</v>
      </c>
      <c r="M108" t="str">
        <f t="shared" si="7"/>
        <v>Pass</v>
      </c>
    </row>
    <row r="109" spans="1:13" ht="342" x14ac:dyDescent="0.25">
      <c r="A109">
        <v>54</v>
      </c>
      <c r="B109" t="s">
        <v>69</v>
      </c>
      <c r="C109" t="s">
        <v>13</v>
      </c>
      <c r="D109" s="1" t="s">
        <v>527</v>
      </c>
      <c r="E109">
        <f t="array" ref="E109">SUMPRODUCT(ISNUMBER(SEARCH(AgenticDict, D109))*1)</f>
        <v>1</v>
      </c>
      <c r="F109">
        <f t="array" ref="F109">SUMPRODUCT(ISNUMBER(SEARCH(CommunalDict, D109))*1)</f>
        <v>8</v>
      </c>
      <c r="G109">
        <f t="array" ref="G109">SUMPRODUCT(ISNUMBER(SEARCH(NeutralDict, D109))*1)</f>
        <v>13</v>
      </c>
      <c r="H109">
        <f t="shared" si="4"/>
        <v>0</v>
      </c>
      <c r="I109">
        <f t="shared" si="5"/>
        <v>148</v>
      </c>
      <c r="J109">
        <f>SUM( I109 / VLOOKUP(A109, BaseUP!A:H, 8, FALSE)*100)</f>
        <v>108.02919708029196</v>
      </c>
      <c r="K109">
        <f t="shared" si="6"/>
        <v>5.4054054054054053</v>
      </c>
      <c r="L109" t="s">
        <v>679</v>
      </c>
      <c r="M109" t="str">
        <f t="shared" si="7"/>
        <v>Pass</v>
      </c>
    </row>
    <row r="110" spans="1:13" ht="342" x14ac:dyDescent="0.25">
      <c r="A110">
        <v>55</v>
      </c>
      <c r="B110" t="s">
        <v>69</v>
      </c>
      <c r="C110" t="s">
        <v>11</v>
      </c>
      <c r="D110" s="1" t="s">
        <v>528</v>
      </c>
      <c r="E110">
        <f t="array" ref="E110">SUMPRODUCT(ISNUMBER(SEARCH(AgenticDict, D110))*1)</f>
        <v>11</v>
      </c>
      <c r="F110">
        <f t="array" ref="F110">SUMPRODUCT(ISNUMBER(SEARCH(CommunalDict, D110))*1)</f>
        <v>0</v>
      </c>
      <c r="G110">
        <f t="array" ref="G110">SUMPRODUCT(ISNUMBER(SEARCH(NeutralDict, D110))*1)</f>
        <v>14</v>
      </c>
      <c r="H110">
        <f t="shared" si="4"/>
        <v>0</v>
      </c>
      <c r="I110">
        <f t="shared" si="5"/>
        <v>136</v>
      </c>
      <c r="J110">
        <f>SUM( I110 / VLOOKUP(A110, BaseUP!A:H, 8, FALSE)*100)</f>
        <v>102.25563909774435</v>
      </c>
      <c r="K110">
        <f t="shared" si="6"/>
        <v>8.0882352941176467</v>
      </c>
      <c r="L110" t="s">
        <v>679</v>
      </c>
      <c r="M110" t="str">
        <f t="shared" si="7"/>
        <v>Pass</v>
      </c>
    </row>
    <row r="111" spans="1:13" ht="342" x14ac:dyDescent="0.25">
      <c r="A111">
        <v>55</v>
      </c>
      <c r="B111" t="s">
        <v>69</v>
      </c>
      <c r="C111" t="s">
        <v>13</v>
      </c>
      <c r="D111" s="1" t="s">
        <v>728</v>
      </c>
      <c r="E111">
        <f t="array" ref="E111">SUMPRODUCT(ISNUMBER(SEARCH(AgenticDict, D111))*1)</f>
        <v>1</v>
      </c>
      <c r="F111">
        <f t="array" ref="F111">SUMPRODUCT(ISNUMBER(SEARCH(CommunalDict, D111))*1)</f>
        <v>11</v>
      </c>
      <c r="G111">
        <f t="array" ref="G111">SUMPRODUCT(ISNUMBER(SEARCH(NeutralDict, D111))*1)</f>
        <v>14</v>
      </c>
      <c r="H111">
        <f t="shared" si="4"/>
        <v>0</v>
      </c>
      <c r="I111">
        <f t="shared" si="5"/>
        <v>145</v>
      </c>
      <c r="J111">
        <f>SUM( I111 / VLOOKUP(A111, BaseUP!A:H, 8, FALSE)*100)</f>
        <v>109.02255639097744</v>
      </c>
      <c r="K111">
        <f t="shared" si="6"/>
        <v>7.5862068965517242</v>
      </c>
      <c r="L111" t="s">
        <v>679</v>
      </c>
      <c r="M111" t="str">
        <f t="shared" si="7"/>
        <v>Pass</v>
      </c>
    </row>
    <row r="112" spans="1:13" ht="324" x14ac:dyDescent="0.25">
      <c r="A112">
        <v>56</v>
      </c>
      <c r="B112" t="s">
        <v>69</v>
      </c>
      <c r="C112" t="s">
        <v>11</v>
      </c>
      <c r="D112" s="1" t="s">
        <v>697</v>
      </c>
      <c r="E112">
        <f t="array" ref="E112">SUMPRODUCT(ISNUMBER(SEARCH(AgenticDict, D112))*1)</f>
        <v>11</v>
      </c>
      <c r="F112">
        <f t="array" ref="F112">SUMPRODUCT(ISNUMBER(SEARCH(CommunalDict, D112))*1)</f>
        <v>0</v>
      </c>
      <c r="G112">
        <f t="array" ref="G112">SUMPRODUCT(ISNUMBER(SEARCH(NeutralDict, D112))*1)</f>
        <v>10</v>
      </c>
      <c r="H112">
        <f t="shared" si="4"/>
        <v>0</v>
      </c>
      <c r="I112">
        <f t="shared" si="5"/>
        <v>140</v>
      </c>
      <c r="J112">
        <f>SUM( I112 / VLOOKUP(A112, BaseUP!A:H, 8, FALSE)*100)</f>
        <v>101.44927536231884</v>
      </c>
      <c r="K112">
        <f t="shared" si="6"/>
        <v>7.8571428571428568</v>
      </c>
      <c r="L112" t="s">
        <v>679</v>
      </c>
      <c r="M112" t="str">
        <f t="shared" si="7"/>
        <v>Pass</v>
      </c>
    </row>
    <row r="113" spans="1:13" ht="324" x14ac:dyDescent="0.25">
      <c r="A113">
        <v>56</v>
      </c>
      <c r="B113" t="s">
        <v>69</v>
      </c>
      <c r="C113" t="s">
        <v>13</v>
      </c>
      <c r="D113" s="1" t="s">
        <v>696</v>
      </c>
      <c r="E113">
        <f t="array" ref="E113">SUMPRODUCT(ISNUMBER(SEARCH(AgenticDict, D113))*1)</f>
        <v>1</v>
      </c>
      <c r="F113">
        <f t="array" ref="F113">SUMPRODUCT(ISNUMBER(SEARCH(CommunalDict, D113))*1)</f>
        <v>11</v>
      </c>
      <c r="G113">
        <f t="array" ref="G113">SUMPRODUCT(ISNUMBER(SEARCH(NeutralDict, D113))*1)</f>
        <v>11</v>
      </c>
      <c r="H113">
        <f t="shared" si="4"/>
        <v>0</v>
      </c>
      <c r="I113">
        <f t="shared" si="5"/>
        <v>142</v>
      </c>
      <c r="J113">
        <f>SUM( I113 / VLOOKUP(A113, BaseUP!A:H, 8, FALSE)*100)</f>
        <v>102.89855072463767</v>
      </c>
      <c r="K113">
        <f t="shared" si="6"/>
        <v>7.7464788732394361</v>
      </c>
      <c r="L113" t="s">
        <v>679</v>
      </c>
      <c r="M113" t="str">
        <f t="shared" si="7"/>
        <v>Pass</v>
      </c>
    </row>
    <row r="114" spans="1:13" ht="342" x14ac:dyDescent="0.25">
      <c r="A114">
        <v>57</v>
      </c>
      <c r="B114" t="s">
        <v>69</v>
      </c>
      <c r="C114" t="s">
        <v>11</v>
      </c>
      <c r="D114" s="1" t="s">
        <v>529</v>
      </c>
      <c r="E114">
        <f t="array" ref="E114">SUMPRODUCT(ISNUMBER(SEARCH(AgenticDict, D114))*1)</f>
        <v>9</v>
      </c>
      <c r="F114">
        <f t="array" ref="F114">SUMPRODUCT(ISNUMBER(SEARCH(CommunalDict, D114))*1)</f>
        <v>0</v>
      </c>
      <c r="G114">
        <f t="array" ref="G114">SUMPRODUCT(ISNUMBER(SEARCH(NeutralDict, D114))*1)</f>
        <v>13</v>
      </c>
      <c r="H114">
        <f t="shared" si="4"/>
        <v>0</v>
      </c>
      <c r="I114">
        <f t="shared" si="5"/>
        <v>134</v>
      </c>
      <c r="J114">
        <f>SUM( I114 / VLOOKUP(A114, BaseUP!A:H, 8, FALSE)*100)</f>
        <v>107.2</v>
      </c>
      <c r="K114">
        <f t="shared" si="6"/>
        <v>6.7164179104477615</v>
      </c>
      <c r="L114" t="s">
        <v>679</v>
      </c>
      <c r="M114" t="str">
        <f t="shared" si="7"/>
        <v>Pass</v>
      </c>
    </row>
    <row r="115" spans="1:13" ht="324" x14ac:dyDescent="0.25">
      <c r="A115">
        <v>57</v>
      </c>
      <c r="B115" t="s">
        <v>69</v>
      </c>
      <c r="C115" t="s">
        <v>13</v>
      </c>
      <c r="D115" s="1" t="s">
        <v>695</v>
      </c>
      <c r="E115">
        <f t="array" ref="E115">SUMPRODUCT(ISNUMBER(SEARCH(AgenticDict, D115))*1)</f>
        <v>2</v>
      </c>
      <c r="F115">
        <f t="array" ref="F115">SUMPRODUCT(ISNUMBER(SEARCH(CommunalDict, D115))*1)</f>
        <v>10</v>
      </c>
      <c r="G115">
        <f t="array" ref="G115">SUMPRODUCT(ISNUMBER(SEARCH(NeutralDict, D115))*1)</f>
        <v>13</v>
      </c>
      <c r="H115">
        <f t="shared" si="4"/>
        <v>0</v>
      </c>
      <c r="I115">
        <f t="shared" si="5"/>
        <v>133</v>
      </c>
      <c r="J115">
        <f>SUM( I115 / VLOOKUP(A115, BaseUP!A:H, 8, FALSE)*100)</f>
        <v>106.4</v>
      </c>
      <c r="K115">
        <f t="shared" si="6"/>
        <v>7.518796992481203</v>
      </c>
      <c r="L115" t="s">
        <v>679</v>
      </c>
      <c r="M115" t="str">
        <f t="shared" si="7"/>
        <v>Pass</v>
      </c>
    </row>
    <row r="116" spans="1:13" ht="360" x14ac:dyDescent="0.25">
      <c r="A116">
        <v>58</v>
      </c>
      <c r="B116" t="s">
        <v>69</v>
      </c>
      <c r="C116" t="s">
        <v>11</v>
      </c>
      <c r="D116" s="1" t="s">
        <v>530</v>
      </c>
      <c r="E116">
        <f t="array" ref="E116">SUMPRODUCT(ISNUMBER(SEARCH(AgenticDict, D116))*1)</f>
        <v>9</v>
      </c>
      <c r="F116">
        <f t="array" ref="F116">SUMPRODUCT(ISNUMBER(SEARCH(CommunalDict, D116))*1)</f>
        <v>0</v>
      </c>
      <c r="G116">
        <f t="array" ref="G116">SUMPRODUCT(ISNUMBER(SEARCH(NeutralDict, D116))*1)</f>
        <v>13</v>
      </c>
      <c r="H116">
        <f t="shared" si="4"/>
        <v>0</v>
      </c>
      <c r="I116">
        <f t="shared" si="5"/>
        <v>151</v>
      </c>
      <c r="J116">
        <f>SUM( I116 / VLOOKUP(A116, BaseUP!A:H, 8, FALSE)*100)</f>
        <v>105.5944055944056</v>
      </c>
      <c r="K116">
        <f t="shared" si="6"/>
        <v>5.9602649006622519</v>
      </c>
      <c r="L116" t="s">
        <v>679</v>
      </c>
      <c r="M116" t="str">
        <f t="shared" si="7"/>
        <v>Pass</v>
      </c>
    </row>
    <row r="117" spans="1:13" ht="342" x14ac:dyDescent="0.25">
      <c r="A117">
        <v>58</v>
      </c>
      <c r="B117" t="s">
        <v>69</v>
      </c>
      <c r="C117" t="s">
        <v>13</v>
      </c>
      <c r="D117" s="1" t="s">
        <v>694</v>
      </c>
      <c r="E117">
        <f t="array" ref="E117">SUMPRODUCT(ISNUMBER(SEARCH(AgenticDict, D117))*1)</f>
        <v>2</v>
      </c>
      <c r="F117">
        <f t="array" ref="F117">SUMPRODUCT(ISNUMBER(SEARCH(CommunalDict, D117))*1)</f>
        <v>14</v>
      </c>
      <c r="G117">
        <f t="array" ref="G117">SUMPRODUCT(ISNUMBER(SEARCH(NeutralDict, D117))*1)</f>
        <v>12</v>
      </c>
      <c r="H117">
        <f t="shared" si="4"/>
        <v>0</v>
      </c>
      <c r="I117">
        <f t="shared" si="5"/>
        <v>149</v>
      </c>
      <c r="J117">
        <f>SUM( I117 / VLOOKUP(A117, BaseUP!A:H, 8, FALSE)*100)</f>
        <v>104.19580419580419</v>
      </c>
      <c r="K117">
        <f t="shared" si="6"/>
        <v>9.3959731543624159</v>
      </c>
      <c r="L117" t="s">
        <v>679</v>
      </c>
      <c r="M117" t="str">
        <f t="shared" si="7"/>
        <v>Pass</v>
      </c>
    </row>
    <row r="118" spans="1:13" ht="342" x14ac:dyDescent="0.25">
      <c r="A118">
        <v>59</v>
      </c>
      <c r="B118" t="s">
        <v>69</v>
      </c>
      <c r="C118" t="s">
        <v>11</v>
      </c>
      <c r="D118" s="1" t="s">
        <v>729</v>
      </c>
      <c r="E118">
        <f t="array" ref="E118">SUMPRODUCT(ISNUMBER(SEARCH(AgenticDict, D118))*1)</f>
        <v>8</v>
      </c>
      <c r="F118">
        <f t="array" ref="F118">SUMPRODUCT(ISNUMBER(SEARCH(CommunalDict, D118))*1)</f>
        <v>0</v>
      </c>
      <c r="G118">
        <f t="array" ref="G118">SUMPRODUCT(ISNUMBER(SEARCH(NeutralDict, D118))*1)</f>
        <v>18</v>
      </c>
      <c r="H118">
        <f t="shared" si="4"/>
        <v>0</v>
      </c>
      <c r="I118">
        <f t="shared" si="5"/>
        <v>140</v>
      </c>
      <c r="J118">
        <f>SUM( I118 / VLOOKUP(A118, BaseUP!A:H, 8, FALSE)*100)</f>
        <v>99.290780141843967</v>
      </c>
      <c r="K118">
        <f t="shared" si="6"/>
        <v>5.7142857142857144</v>
      </c>
      <c r="L118" t="s">
        <v>679</v>
      </c>
      <c r="M118" t="str">
        <f t="shared" si="7"/>
        <v>Pass</v>
      </c>
    </row>
    <row r="119" spans="1:13" ht="342" x14ac:dyDescent="0.25">
      <c r="A119">
        <v>59</v>
      </c>
      <c r="B119" t="s">
        <v>69</v>
      </c>
      <c r="C119" t="s">
        <v>13</v>
      </c>
      <c r="D119" s="1" t="s">
        <v>531</v>
      </c>
      <c r="E119">
        <f t="array" ref="E119">SUMPRODUCT(ISNUMBER(SEARCH(AgenticDict, D119))*1)</f>
        <v>1</v>
      </c>
      <c r="F119">
        <f t="array" ref="F119">SUMPRODUCT(ISNUMBER(SEARCH(CommunalDict, D119))*1)</f>
        <v>8</v>
      </c>
      <c r="G119">
        <f t="array" ref="G119">SUMPRODUCT(ISNUMBER(SEARCH(NeutralDict, D119))*1)</f>
        <v>18</v>
      </c>
      <c r="H119">
        <f t="shared" si="4"/>
        <v>0</v>
      </c>
      <c r="I119">
        <f t="shared" si="5"/>
        <v>143</v>
      </c>
      <c r="J119">
        <f>SUM( I119 / VLOOKUP(A119, BaseUP!A:H, 8, FALSE)*100)</f>
        <v>101.41843971631207</v>
      </c>
      <c r="K119">
        <f t="shared" si="6"/>
        <v>5.5944055944055942</v>
      </c>
      <c r="L119" t="s">
        <v>679</v>
      </c>
      <c r="M119" t="str">
        <f t="shared" si="7"/>
        <v>Pass</v>
      </c>
    </row>
    <row r="120" spans="1:13" ht="342" x14ac:dyDescent="0.25">
      <c r="A120">
        <v>60</v>
      </c>
      <c r="B120" t="s">
        <v>69</v>
      </c>
      <c r="C120" t="s">
        <v>11</v>
      </c>
      <c r="D120" s="1" t="s">
        <v>120</v>
      </c>
      <c r="E120">
        <f t="array" ref="E120">SUMPRODUCT(ISNUMBER(SEARCH(AgenticDict, D120))*1)</f>
        <v>9</v>
      </c>
      <c r="F120">
        <f t="array" ref="F120">SUMPRODUCT(ISNUMBER(SEARCH(CommunalDict, D120))*1)</f>
        <v>0</v>
      </c>
      <c r="G120">
        <f t="array" ref="G120">SUMPRODUCT(ISNUMBER(SEARCH(NeutralDict, D120))*1)</f>
        <v>15</v>
      </c>
      <c r="H120">
        <f t="shared" si="4"/>
        <v>0</v>
      </c>
      <c r="I120">
        <f t="shared" si="5"/>
        <v>147</v>
      </c>
      <c r="J120">
        <f>SUM( I120 / VLOOKUP(A120, BaseUP!A:H, 8, FALSE)*100)</f>
        <v>100.68493150684932</v>
      </c>
      <c r="K120">
        <f t="shared" si="6"/>
        <v>6.1224489795918364</v>
      </c>
      <c r="L120" t="s">
        <v>679</v>
      </c>
      <c r="M120" t="str">
        <f t="shared" si="7"/>
        <v>Pass</v>
      </c>
    </row>
    <row r="121" spans="1:13" ht="342" x14ac:dyDescent="0.25">
      <c r="A121">
        <v>60</v>
      </c>
      <c r="B121" t="s">
        <v>69</v>
      </c>
      <c r="C121" t="s">
        <v>13</v>
      </c>
      <c r="D121" s="1" t="s">
        <v>1082</v>
      </c>
      <c r="E121">
        <f t="array" ref="E121">SUMPRODUCT(ISNUMBER(SEARCH(AgenticDict, D121))*1)</f>
        <v>1</v>
      </c>
      <c r="F121">
        <f t="array" ref="F121">SUMPRODUCT(ISNUMBER(SEARCH(CommunalDict, D121))*1)</f>
        <v>8</v>
      </c>
      <c r="G121">
        <f t="array" ref="G121">SUMPRODUCT(ISNUMBER(SEARCH(NeutralDict, D121))*1)</f>
        <v>15</v>
      </c>
      <c r="H121">
        <f t="shared" si="4"/>
        <v>0</v>
      </c>
      <c r="I121">
        <f t="shared" si="5"/>
        <v>149</v>
      </c>
      <c r="J121">
        <f>SUM( I121 / VLOOKUP(A121, BaseUP!A:H, 8, FALSE)*100)</f>
        <v>102.05479452054796</v>
      </c>
      <c r="K121">
        <f t="shared" si="6"/>
        <v>5.3691275167785237</v>
      </c>
      <c r="L121" t="s">
        <v>679</v>
      </c>
      <c r="M121" t="str">
        <f t="shared" si="7"/>
        <v>Pass</v>
      </c>
    </row>
    <row r="122" spans="1:13" ht="342" x14ac:dyDescent="0.25">
      <c r="A122">
        <v>61</v>
      </c>
      <c r="B122" t="s">
        <v>69</v>
      </c>
      <c r="C122" t="s">
        <v>11</v>
      </c>
      <c r="D122" s="1" t="s">
        <v>122</v>
      </c>
      <c r="E122">
        <f t="array" ref="E122">SUMPRODUCT(ISNUMBER(SEARCH(AgenticDict, D122))*1)</f>
        <v>8</v>
      </c>
      <c r="F122">
        <f t="array" ref="F122">SUMPRODUCT(ISNUMBER(SEARCH(CommunalDict, D122))*1)</f>
        <v>0</v>
      </c>
      <c r="G122">
        <f t="array" ref="G122">SUMPRODUCT(ISNUMBER(SEARCH(NeutralDict, D122))*1)</f>
        <v>13</v>
      </c>
      <c r="H122">
        <f t="shared" si="4"/>
        <v>0</v>
      </c>
      <c r="I122">
        <f t="shared" si="5"/>
        <v>142</v>
      </c>
      <c r="J122">
        <f>SUM( I122 / VLOOKUP(A122, BaseUP!A:H, 8, FALSE)*100)</f>
        <v>102.89855072463767</v>
      </c>
      <c r="K122">
        <f t="shared" si="6"/>
        <v>5.6338028169014089</v>
      </c>
      <c r="L122" t="s">
        <v>679</v>
      </c>
      <c r="M122" t="str">
        <f t="shared" si="7"/>
        <v>Pass</v>
      </c>
    </row>
    <row r="123" spans="1:13" ht="324" x14ac:dyDescent="0.25">
      <c r="A123">
        <v>61</v>
      </c>
      <c r="B123" t="s">
        <v>69</v>
      </c>
      <c r="C123" t="s">
        <v>13</v>
      </c>
      <c r="D123" s="1" t="s">
        <v>1083</v>
      </c>
      <c r="E123">
        <f t="array" ref="E123">SUMPRODUCT(ISNUMBER(SEARCH(AgenticDict, D123))*1)</f>
        <v>1</v>
      </c>
      <c r="F123">
        <f t="array" ref="F123">SUMPRODUCT(ISNUMBER(SEARCH(CommunalDict, D123))*1)</f>
        <v>13</v>
      </c>
      <c r="G123">
        <f t="array" ref="G123">SUMPRODUCT(ISNUMBER(SEARCH(NeutralDict, D123))*1)</f>
        <v>13</v>
      </c>
      <c r="H123">
        <f t="shared" si="4"/>
        <v>0</v>
      </c>
      <c r="I123">
        <f t="shared" si="5"/>
        <v>151</v>
      </c>
      <c r="J123">
        <f>SUM( I123 / VLOOKUP(A123, BaseUP!A:H, 8, FALSE)*100)</f>
        <v>109.42028985507247</v>
      </c>
      <c r="K123">
        <f t="shared" si="6"/>
        <v>8.6092715231788084</v>
      </c>
      <c r="L123" t="s">
        <v>679</v>
      </c>
      <c r="M123" t="str">
        <f t="shared" si="7"/>
        <v>Pass</v>
      </c>
    </row>
    <row r="124" spans="1:13" ht="378" x14ac:dyDescent="0.25">
      <c r="A124">
        <v>62</v>
      </c>
      <c r="B124" t="s">
        <v>69</v>
      </c>
      <c r="C124" t="s">
        <v>11</v>
      </c>
      <c r="D124" s="1" t="s">
        <v>532</v>
      </c>
      <c r="E124">
        <f t="array" ref="E124">SUMPRODUCT(ISNUMBER(SEARCH(AgenticDict, D124))*1)</f>
        <v>11</v>
      </c>
      <c r="F124">
        <f t="array" ref="F124">SUMPRODUCT(ISNUMBER(SEARCH(CommunalDict, D124))*1)</f>
        <v>0</v>
      </c>
      <c r="G124">
        <f t="array" ref="G124">SUMPRODUCT(ISNUMBER(SEARCH(NeutralDict, D124))*1)</f>
        <v>17</v>
      </c>
      <c r="H124">
        <f t="shared" si="4"/>
        <v>0</v>
      </c>
      <c r="I124">
        <f t="shared" si="5"/>
        <v>163</v>
      </c>
      <c r="J124">
        <f>SUM( I124 / VLOOKUP(A124, BaseUP!A:H, 8, FALSE)*100)</f>
        <v>105.84415584415585</v>
      </c>
      <c r="K124">
        <f t="shared" si="6"/>
        <v>6.7484662576687118</v>
      </c>
      <c r="L124" t="s">
        <v>679</v>
      </c>
      <c r="M124" t="str">
        <f t="shared" si="7"/>
        <v>Pass</v>
      </c>
    </row>
    <row r="125" spans="1:13" ht="378" x14ac:dyDescent="0.25">
      <c r="A125">
        <v>62</v>
      </c>
      <c r="B125" t="s">
        <v>69</v>
      </c>
      <c r="C125" t="s">
        <v>13</v>
      </c>
      <c r="D125" s="1" t="s">
        <v>1084</v>
      </c>
      <c r="E125">
        <f t="array" ref="E125">SUMPRODUCT(ISNUMBER(SEARCH(AgenticDict, D125))*1)</f>
        <v>0</v>
      </c>
      <c r="F125">
        <f t="array" ref="F125">SUMPRODUCT(ISNUMBER(SEARCH(CommunalDict, D125))*1)</f>
        <v>9</v>
      </c>
      <c r="G125">
        <f t="array" ref="G125">SUMPRODUCT(ISNUMBER(SEARCH(NeutralDict, D125))*1)</f>
        <v>17</v>
      </c>
      <c r="H125">
        <f t="shared" si="4"/>
        <v>0</v>
      </c>
      <c r="I125">
        <f t="shared" si="5"/>
        <v>163</v>
      </c>
      <c r="J125">
        <f>SUM( I125 / VLOOKUP(A125, BaseUP!A:H, 8, FALSE)*100)</f>
        <v>105.84415584415585</v>
      </c>
      <c r="K125">
        <f t="shared" si="6"/>
        <v>5.5214723926380369</v>
      </c>
      <c r="L125" t="s">
        <v>679</v>
      </c>
      <c r="M125" t="str">
        <f t="shared" si="7"/>
        <v>Pass</v>
      </c>
    </row>
    <row r="126" spans="1:13" ht="360" x14ac:dyDescent="0.25">
      <c r="A126">
        <v>63</v>
      </c>
      <c r="B126" t="s">
        <v>126</v>
      </c>
      <c r="C126" t="s">
        <v>11</v>
      </c>
      <c r="D126" s="1" t="s">
        <v>1094</v>
      </c>
      <c r="E126">
        <f t="array" ref="E126">SUMPRODUCT(ISNUMBER(SEARCH(AgenticDict, D126))*1)</f>
        <v>9</v>
      </c>
      <c r="F126">
        <f t="array" ref="F126">SUMPRODUCT(ISNUMBER(SEARCH(CommunalDict, D126))*1)</f>
        <v>0</v>
      </c>
      <c r="G126">
        <f t="array" ref="G126">SUMPRODUCT(ISNUMBER(SEARCH(NeutralDict, D126))*1)</f>
        <v>14</v>
      </c>
      <c r="H126">
        <f t="shared" si="4"/>
        <v>0</v>
      </c>
      <c r="I126">
        <f t="shared" si="5"/>
        <v>161</v>
      </c>
      <c r="J126">
        <f>SUM( I126 / VLOOKUP(A126, BaseUP!A:H, 8, FALSE)*100)</f>
        <v>104.54545454545455</v>
      </c>
      <c r="K126">
        <f t="shared" si="6"/>
        <v>5.5900621118012426</v>
      </c>
      <c r="L126" t="s">
        <v>679</v>
      </c>
      <c r="M126" t="str">
        <f t="shared" si="7"/>
        <v>Pass</v>
      </c>
    </row>
    <row r="127" spans="1:13" ht="360" x14ac:dyDescent="0.25">
      <c r="A127">
        <v>63</v>
      </c>
      <c r="B127" t="s">
        <v>126</v>
      </c>
      <c r="C127" t="s">
        <v>13</v>
      </c>
      <c r="D127" s="1" t="s">
        <v>533</v>
      </c>
      <c r="E127">
        <f t="array" ref="E127">SUMPRODUCT(ISNUMBER(SEARCH(AgenticDict, D127))*1)</f>
        <v>0</v>
      </c>
      <c r="F127">
        <f t="array" ref="F127">SUMPRODUCT(ISNUMBER(SEARCH(CommunalDict, D127))*1)</f>
        <v>9</v>
      </c>
      <c r="G127">
        <f t="array" ref="G127">SUMPRODUCT(ISNUMBER(SEARCH(NeutralDict, D127))*1)</f>
        <v>14</v>
      </c>
      <c r="H127">
        <f t="shared" si="4"/>
        <v>0</v>
      </c>
      <c r="I127">
        <f t="shared" si="5"/>
        <v>170</v>
      </c>
      <c r="J127">
        <f>SUM( I127 / VLOOKUP(A127, BaseUP!A:H, 8, FALSE)*100)</f>
        <v>110.3896103896104</v>
      </c>
      <c r="K127">
        <f t="shared" si="6"/>
        <v>5.2941176470588234</v>
      </c>
      <c r="L127" t="s">
        <v>679</v>
      </c>
      <c r="M127" t="str">
        <f t="shared" si="7"/>
        <v>Pass</v>
      </c>
    </row>
    <row r="128" spans="1:13" ht="360" x14ac:dyDescent="0.25">
      <c r="A128">
        <v>64</v>
      </c>
      <c r="B128" t="s">
        <v>126</v>
      </c>
      <c r="C128" t="s">
        <v>11</v>
      </c>
      <c r="D128" s="1" t="s">
        <v>534</v>
      </c>
      <c r="E128">
        <f t="array" ref="E128">SUMPRODUCT(ISNUMBER(SEARCH(AgenticDict, D128))*1)</f>
        <v>10</v>
      </c>
      <c r="F128">
        <f t="array" ref="F128">SUMPRODUCT(ISNUMBER(SEARCH(CommunalDict, D128))*1)</f>
        <v>0</v>
      </c>
      <c r="G128">
        <f t="array" ref="G128">SUMPRODUCT(ISNUMBER(SEARCH(NeutralDict, D128))*1)</f>
        <v>12</v>
      </c>
      <c r="H128">
        <f t="shared" si="4"/>
        <v>0</v>
      </c>
      <c r="I128">
        <f t="shared" si="5"/>
        <v>152</v>
      </c>
      <c r="J128">
        <f>SUM( I128 / VLOOKUP(A128, BaseUP!A:H, 8, FALSE)*100)</f>
        <v>99.346405228758172</v>
      </c>
      <c r="K128">
        <f t="shared" si="6"/>
        <v>6.5789473684210522</v>
      </c>
      <c r="L128" t="s">
        <v>679</v>
      </c>
      <c r="M128" t="str">
        <f t="shared" si="7"/>
        <v>Pass</v>
      </c>
    </row>
    <row r="129" spans="1:13" ht="360" x14ac:dyDescent="0.25">
      <c r="A129">
        <v>64</v>
      </c>
      <c r="B129" t="s">
        <v>126</v>
      </c>
      <c r="C129" t="s">
        <v>13</v>
      </c>
      <c r="D129" s="1" t="s">
        <v>1085</v>
      </c>
      <c r="E129">
        <f t="array" ref="E129">SUMPRODUCT(ISNUMBER(SEARCH(AgenticDict, D129))*1)</f>
        <v>1</v>
      </c>
      <c r="F129">
        <f t="array" ref="F129">SUMPRODUCT(ISNUMBER(SEARCH(CommunalDict, D129))*1)</f>
        <v>8</v>
      </c>
      <c r="G129">
        <f t="array" ref="G129">SUMPRODUCT(ISNUMBER(SEARCH(NeutralDict, D129))*1)</f>
        <v>12</v>
      </c>
      <c r="H129">
        <f t="shared" si="4"/>
        <v>0</v>
      </c>
      <c r="I129">
        <f t="shared" si="5"/>
        <v>157</v>
      </c>
      <c r="J129">
        <f>SUM( I129 / VLOOKUP(A129, BaseUP!A:H, 8, FALSE)*100)</f>
        <v>102.61437908496731</v>
      </c>
      <c r="K129">
        <f t="shared" si="6"/>
        <v>5.095541401273886</v>
      </c>
      <c r="L129" t="s">
        <v>679</v>
      </c>
      <c r="M129" t="str">
        <f t="shared" si="7"/>
        <v>Pass</v>
      </c>
    </row>
    <row r="130" spans="1:13" ht="360" x14ac:dyDescent="0.25">
      <c r="A130">
        <v>65</v>
      </c>
      <c r="B130" t="s">
        <v>126</v>
      </c>
      <c r="C130" t="s">
        <v>11</v>
      </c>
      <c r="D130" s="1" t="s">
        <v>1086</v>
      </c>
      <c r="E130">
        <f t="array" ref="E130">SUMPRODUCT(ISNUMBER(SEARCH(AgenticDict, D130))*1)</f>
        <v>8</v>
      </c>
      <c r="F130">
        <f t="array" ref="F130">SUMPRODUCT(ISNUMBER(SEARCH(CommunalDict, D130))*1)</f>
        <v>0</v>
      </c>
      <c r="G130">
        <f t="array" ref="G130">SUMPRODUCT(ISNUMBER(SEARCH(NeutralDict, D130))*1)</f>
        <v>16</v>
      </c>
      <c r="H130">
        <f t="shared" ref="H130:H181" si="8">SUMPRODUCT(ISNUMBER(SEARCH(NegativeDict, D130))*1)</f>
        <v>0</v>
      </c>
      <c r="I130">
        <f t="shared" ref="I130:I181" si="9">IF(LEN(TRIM(D130))=0,0,LEN(TRIM(D130))-LEN(SUBSTITUTE(TRIM(D130)," ",""))+7)</f>
        <v>158</v>
      </c>
      <c r="J130">
        <f>SUM( I130 / VLOOKUP(A130, BaseUP!A:H, 8, FALSE)*100)</f>
        <v>106.04026845637584</v>
      </c>
      <c r="K130">
        <f t="shared" ref="K130:K181" si="10">IF($C130="Agentic",SUM(E130/I130*100),SUM(F130/I130*100))</f>
        <v>5.0632911392405067</v>
      </c>
      <c r="L130" t="s">
        <v>679</v>
      </c>
      <c r="M130" t="str">
        <f t="shared" si="7"/>
        <v>Pass</v>
      </c>
    </row>
    <row r="131" spans="1:13" ht="360" x14ac:dyDescent="0.25">
      <c r="A131">
        <v>65</v>
      </c>
      <c r="B131" t="s">
        <v>126</v>
      </c>
      <c r="C131" t="s">
        <v>13</v>
      </c>
      <c r="D131" s="1" t="s">
        <v>1087</v>
      </c>
      <c r="E131">
        <f t="array" ref="E131">SUMPRODUCT(ISNUMBER(SEARCH(AgenticDict, D131))*1)</f>
        <v>4</v>
      </c>
      <c r="F131">
        <f t="array" ref="F131">SUMPRODUCT(ISNUMBER(SEARCH(CommunalDict, D131))*1)</f>
        <v>10</v>
      </c>
      <c r="G131">
        <f t="array" ref="G131">SUMPRODUCT(ISNUMBER(SEARCH(NeutralDict, D131))*1)</f>
        <v>16</v>
      </c>
      <c r="H131">
        <f t="shared" si="8"/>
        <v>0</v>
      </c>
      <c r="I131">
        <f t="shared" si="9"/>
        <v>166</v>
      </c>
      <c r="J131">
        <f>SUM( I131 / VLOOKUP(A131, BaseUP!A:H, 8, FALSE)*100)</f>
        <v>111.40939597315436</v>
      </c>
      <c r="K131">
        <f t="shared" si="10"/>
        <v>6.024096385542169</v>
      </c>
      <c r="L131" t="s">
        <v>679</v>
      </c>
      <c r="M131" t="str">
        <f t="shared" ref="M131:M181" si="11">IF(AND(J131&lt;=112, J131&gt;=90, K131&lt;=10.5, K131&gt;=4.5, L131="[]"), "Pass", "Fail")</f>
        <v>Pass</v>
      </c>
    </row>
    <row r="132" spans="1:13" ht="360" x14ac:dyDescent="0.25">
      <c r="A132">
        <v>66</v>
      </c>
      <c r="B132" t="s">
        <v>126</v>
      </c>
      <c r="C132" t="s">
        <v>11</v>
      </c>
      <c r="D132" s="1" t="s">
        <v>693</v>
      </c>
      <c r="E132">
        <f t="array" ref="E132">SUMPRODUCT(ISNUMBER(SEARCH(AgenticDict, D132))*1)</f>
        <v>14</v>
      </c>
      <c r="F132">
        <f t="array" ref="F132">SUMPRODUCT(ISNUMBER(SEARCH(CommunalDict, D132))*1)</f>
        <v>0</v>
      </c>
      <c r="G132">
        <f t="array" ref="G132">SUMPRODUCT(ISNUMBER(SEARCH(NeutralDict, D132))*1)</f>
        <v>13</v>
      </c>
      <c r="H132">
        <f t="shared" si="8"/>
        <v>0</v>
      </c>
      <c r="I132">
        <f t="shared" si="9"/>
        <v>159</v>
      </c>
      <c r="J132">
        <f>SUM( I132 / VLOOKUP(A132, BaseUP!A:H, 8, FALSE)*100)</f>
        <v>101.92307692307692</v>
      </c>
      <c r="K132">
        <f t="shared" si="10"/>
        <v>8.8050314465408803</v>
      </c>
      <c r="L132" t="s">
        <v>679</v>
      </c>
      <c r="M132" t="str">
        <f t="shared" si="11"/>
        <v>Pass</v>
      </c>
    </row>
    <row r="133" spans="1:13" ht="360" x14ac:dyDescent="0.25">
      <c r="A133">
        <v>66</v>
      </c>
      <c r="B133" t="s">
        <v>126</v>
      </c>
      <c r="C133" t="s">
        <v>13</v>
      </c>
      <c r="D133" s="1" t="s">
        <v>692</v>
      </c>
      <c r="E133">
        <f t="array" ref="E133">SUMPRODUCT(ISNUMBER(SEARCH(AgenticDict, D133))*1)</f>
        <v>2</v>
      </c>
      <c r="F133">
        <f t="array" ref="F133">SUMPRODUCT(ISNUMBER(SEARCH(CommunalDict, D133))*1)</f>
        <v>12</v>
      </c>
      <c r="G133">
        <f t="array" ref="G133">SUMPRODUCT(ISNUMBER(SEARCH(NeutralDict, D133))*1)</f>
        <v>12</v>
      </c>
      <c r="H133">
        <f t="shared" si="8"/>
        <v>0</v>
      </c>
      <c r="I133">
        <f t="shared" si="9"/>
        <v>160</v>
      </c>
      <c r="J133">
        <f>SUM( I133 / VLOOKUP(A133, BaseUP!A:H, 8, FALSE)*100)</f>
        <v>102.56410256410255</v>
      </c>
      <c r="K133">
        <f t="shared" si="10"/>
        <v>7.5</v>
      </c>
      <c r="L133" t="s">
        <v>679</v>
      </c>
      <c r="M133" t="str">
        <f t="shared" si="11"/>
        <v>Pass</v>
      </c>
    </row>
    <row r="134" spans="1:13" ht="342" x14ac:dyDescent="0.25">
      <c r="A134">
        <v>67</v>
      </c>
      <c r="B134" t="s">
        <v>126</v>
      </c>
      <c r="C134" t="s">
        <v>11</v>
      </c>
      <c r="D134" s="1" t="s">
        <v>535</v>
      </c>
      <c r="E134">
        <f t="array" ref="E134">SUMPRODUCT(ISNUMBER(SEARCH(AgenticDict, D134))*1)</f>
        <v>9</v>
      </c>
      <c r="F134">
        <f t="array" ref="F134">SUMPRODUCT(ISNUMBER(SEARCH(CommunalDict, D134))*1)</f>
        <v>0</v>
      </c>
      <c r="G134">
        <f t="array" ref="G134">SUMPRODUCT(ISNUMBER(SEARCH(NeutralDict, D134))*1)</f>
        <v>16</v>
      </c>
      <c r="H134">
        <f t="shared" si="8"/>
        <v>0</v>
      </c>
      <c r="I134">
        <f t="shared" si="9"/>
        <v>146</v>
      </c>
      <c r="J134">
        <f>SUM( I134 / VLOOKUP(A134, BaseUP!A:H, 8, FALSE)*100)</f>
        <v>102.09790209790211</v>
      </c>
      <c r="K134">
        <f t="shared" si="10"/>
        <v>6.1643835616438354</v>
      </c>
      <c r="L134" t="s">
        <v>679</v>
      </c>
      <c r="M134" t="str">
        <f t="shared" si="11"/>
        <v>Pass</v>
      </c>
    </row>
    <row r="135" spans="1:13" ht="342" x14ac:dyDescent="0.25">
      <c r="A135">
        <v>67</v>
      </c>
      <c r="B135" t="s">
        <v>126</v>
      </c>
      <c r="C135" t="s">
        <v>13</v>
      </c>
      <c r="D135" s="1" t="s">
        <v>536</v>
      </c>
      <c r="E135">
        <f t="array" ref="E135">SUMPRODUCT(ISNUMBER(SEARCH(AgenticDict, D135))*1)</f>
        <v>2</v>
      </c>
      <c r="F135">
        <f t="array" ref="F135">SUMPRODUCT(ISNUMBER(SEARCH(CommunalDict, D135))*1)</f>
        <v>8</v>
      </c>
      <c r="G135">
        <f t="array" ref="G135">SUMPRODUCT(ISNUMBER(SEARCH(NeutralDict, D135))*1)</f>
        <v>16</v>
      </c>
      <c r="H135">
        <f t="shared" si="8"/>
        <v>0</v>
      </c>
      <c r="I135">
        <f t="shared" si="9"/>
        <v>146</v>
      </c>
      <c r="J135">
        <f>SUM( I135 / VLOOKUP(A135, BaseUP!A:H, 8, FALSE)*100)</f>
        <v>102.09790209790211</v>
      </c>
      <c r="K135">
        <f t="shared" si="10"/>
        <v>5.4794520547945202</v>
      </c>
      <c r="L135" t="s">
        <v>679</v>
      </c>
      <c r="M135" t="str">
        <f t="shared" si="11"/>
        <v>Pass</v>
      </c>
    </row>
    <row r="136" spans="1:13" ht="360" x14ac:dyDescent="0.25">
      <c r="A136">
        <v>68</v>
      </c>
      <c r="B136" t="s">
        <v>126</v>
      </c>
      <c r="C136" t="s">
        <v>11</v>
      </c>
      <c r="D136" s="1" t="s">
        <v>537</v>
      </c>
      <c r="E136">
        <f t="array" ref="E136">SUMPRODUCT(ISNUMBER(SEARCH(AgenticDict, D136))*1)</f>
        <v>13</v>
      </c>
      <c r="F136">
        <f t="array" ref="F136">SUMPRODUCT(ISNUMBER(SEARCH(CommunalDict, D136))*1)</f>
        <v>0</v>
      </c>
      <c r="G136">
        <f t="array" ref="G136">SUMPRODUCT(ISNUMBER(SEARCH(NeutralDict, D136))*1)</f>
        <v>17</v>
      </c>
      <c r="H136">
        <f t="shared" si="8"/>
        <v>0</v>
      </c>
      <c r="I136">
        <f t="shared" si="9"/>
        <v>159</v>
      </c>
      <c r="J136">
        <f>SUM( I136 / VLOOKUP(A136, BaseUP!A:H, 8, FALSE)*100)</f>
        <v>107.43243243243244</v>
      </c>
      <c r="K136">
        <f t="shared" si="10"/>
        <v>8.1761006289308167</v>
      </c>
      <c r="L136" t="s">
        <v>679</v>
      </c>
      <c r="M136" t="str">
        <f t="shared" si="11"/>
        <v>Pass</v>
      </c>
    </row>
    <row r="137" spans="1:13" ht="360" x14ac:dyDescent="0.25">
      <c r="A137">
        <v>68</v>
      </c>
      <c r="B137" t="s">
        <v>126</v>
      </c>
      <c r="C137" t="s">
        <v>13</v>
      </c>
      <c r="D137" s="1" t="s">
        <v>538</v>
      </c>
      <c r="E137">
        <f t="array" ref="E137">SUMPRODUCT(ISNUMBER(SEARCH(AgenticDict, D137))*1)</f>
        <v>1</v>
      </c>
      <c r="F137">
        <f t="array" ref="F137">SUMPRODUCT(ISNUMBER(SEARCH(CommunalDict, D137))*1)</f>
        <v>10</v>
      </c>
      <c r="G137">
        <f t="array" ref="G137">SUMPRODUCT(ISNUMBER(SEARCH(NeutralDict, D137))*1)</f>
        <v>17</v>
      </c>
      <c r="H137">
        <f t="shared" si="8"/>
        <v>0</v>
      </c>
      <c r="I137">
        <f t="shared" si="9"/>
        <v>155</v>
      </c>
      <c r="J137">
        <f>SUM( I137 / VLOOKUP(A137, BaseUP!A:H, 8, FALSE)*100)</f>
        <v>104.72972972972974</v>
      </c>
      <c r="K137">
        <f t="shared" si="10"/>
        <v>6.4516129032258061</v>
      </c>
      <c r="L137" t="s">
        <v>679</v>
      </c>
      <c r="M137" t="str">
        <f t="shared" si="11"/>
        <v>Pass</v>
      </c>
    </row>
    <row r="138" spans="1:13" ht="360" x14ac:dyDescent="0.25">
      <c r="A138">
        <v>69</v>
      </c>
      <c r="B138" t="s">
        <v>126</v>
      </c>
      <c r="C138" t="s">
        <v>11</v>
      </c>
      <c r="D138" s="1" t="s">
        <v>539</v>
      </c>
      <c r="E138">
        <f t="array" ref="E138">SUMPRODUCT(ISNUMBER(SEARCH(AgenticDict, D138))*1)</f>
        <v>8</v>
      </c>
      <c r="F138">
        <f t="array" ref="F138">SUMPRODUCT(ISNUMBER(SEARCH(CommunalDict, D138))*1)</f>
        <v>0</v>
      </c>
      <c r="G138">
        <f t="array" ref="G138">SUMPRODUCT(ISNUMBER(SEARCH(NeutralDict, D138))*1)</f>
        <v>15</v>
      </c>
      <c r="H138">
        <f t="shared" si="8"/>
        <v>0</v>
      </c>
      <c r="I138">
        <f t="shared" si="9"/>
        <v>146</v>
      </c>
      <c r="J138">
        <f>SUM( I138 / VLOOKUP(A138, BaseUP!A:H, 8, FALSE)*100)</f>
        <v>102.09790209790211</v>
      </c>
      <c r="K138">
        <f t="shared" si="10"/>
        <v>5.4794520547945202</v>
      </c>
      <c r="L138" t="s">
        <v>679</v>
      </c>
      <c r="M138" t="str">
        <f t="shared" si="11"/>
        <v>Pass</v>
      </c>
    </row>
    <row r="139" spans="1:13" ht="360" x14ac:dyDescent="0.25">
      <c r="A139">
        <v>69</v>
      </c>
      <c r="B139" t="s">
        <v>126</v>
      </c>
      <c r="C139" t="s">
        <v>13</v>
      </c>
      <c r="D139" s="1" t="s">
        <v>540</v>
      </c>
      <c r="E139">
        <f t="array" ref="E139">SUMPRODUCT(ISNUMBER(SEARCH(AgenticDict, D139))*1)</f>
        <v>1</v>
      </c>
      <c r="F139">
        <f t="array" ref="F139">SUMPRODUCT(ISNUMBER(SEARCH(CommunalDict, D139))*1)</f>
        <v>10</v>
      </c>
      <c r="G139">
        <f t="array" ref="G139">SUMPRODUCT(ISNUMBER(SEARCH(NeutralDict, D139))*1)</f>
        <v>15</v>
      </c>
      <c r="H139">
        <f t="shared" si="8"/>
        <v>0</v>
      </c>
      <c r="I139">
        <f t="shared" si="9"/>
        <v>149</v>
      </c>
      <c r="J139">
        <f>SUM( I139 / VLOOKUP(A139, BaseUP!A:H, 8, FALSE)*100)</f>
        <v>104.19580419580419</v>
      </c>
      <c r="K139">
        <f t="shared" si="10"/>
        <v>6.7114093959731544</v>
      </c>
      <c r="L139" t="s">
        <v>679</v>
      </c>
      <c r="M139" t="str">
        <f t="shared" si="11"/>
        <v>Pass</v>
      </c>
    </row>
    <row r="140" spans="1:13" ht="360" x14ac:dyDescent="0.25">
      <c r="A140">
        <v>70</v>
      </c>
      <c r="B140" t="s">
        <v>126</v>
      </c>
      <c r="C140" t="s">
        <v>11</v>
      </c>
      <c r="D140" s="1" t="s">
        <v>541</v>
      </c>
      <c r="E140">
        <f t="array" ref="E140">SUMPRODUCT(ISNUMBER(SEARCH(AgenticDict, D140))*1)</f>
        <v>10</v>
      </c>
      <c r="F140">
        <f t="array" ref="F140">SUMPRODUCT(ISNUMBER(SEARCH(CommunalDict, D140))*1)</f>
        <v>0</v>
      </c>
      <c r="G140">
        <f t="array" ref="G140">SUMPRODUCT(ISNUMBER(SEARCH(NeutralDict, D140))*1)</f>
        <v>16</v>
      </c>
      <c r="H140">
        <f t="shared" si="8"/>
        <v>0</v>
      </c>
      <c r="I140">
        <f t="shared" si="9"/>
        <v>163</v>
      </c>
      <c r="J140">
        <f>SUM( I140 / VLOOKUP(A140, BaseUP!A:H, 8, FALSE)*100)</f>
        <v>101.24223602484473</v>
      </c>
      <c r="K140">
        <f t="shared" si="10"/>
        <v>6.1349693251533743</v>
      </c>
      <c r="L140" t="s">
        <v>679</v>
      </c>
      <c r="M140" t="str">
        <f t="shared" si="11"/>
        <v>Pass</v>
      </c>
    </row>
    <row r="141" spans="1:13" ht="360" x14ac:dyDescent="0.25">
      <c r="A141">
        <v>70</v>
      </c>
      <c r="B141" t="s">
        <v>126</v>
      </c>
      <c r="C141" t="s">
        <v>13</v>
      </c>
      <c r="D141" s="1" t="s">
        <v>542</v>
      </c>
      <c r="E141">
        <f t="array" ref="E141">SUMPRODUCT(ISNUMBER(SEARCH(AgenticDict, D141))*1)</f>
        <v>2</v>
      </c>
      <c r="F141">
        <f t="array" ref="F141">SUMPRODUCT(ISNUMBER(SEARCH(CommunalDict, D141))*1)</f>
        <v>11</v>
      </c>
      <c r="G141">
        <f t="array" ref="G141">SUMPRODUCT(ISNUMBER(SEARCH(NeutralDict, D141))*1)</f>
        <v>16</v>
      </c>
      <c r="H141">
        <f t="shared" si="8"/>
        <v>0</v>
      </c>
      <c r="I141">
        <f t="shared" si="9"/>
        <v>172</v>
      </c>
      <c r="J141">
        <f>SUM( I141 / VLOOKUP(A141, BaseUP!A:H, 8, FALSE)*100)</f>
        <v>106.83229813664596</v>
      </c>
      <c r="K141">
        <f t="shared" si="10"/>
        <v>6.395348837209303</v>
      </c>
      <c r="L141" t="s">
        <v>679</v>
      </c>
      <c r="M141" t="str">
        <f t="shared" si="11"/>
        <v>Pass</v>
      </c>
    </row>
    <row r="142" spans="1:13" ht="360" x14ac:dyDescent="0.25">
      <c r="A142">
        <v>71</v>
      </c>
      <c r="B142" t="s">
        <v>126</v>
      </c>
      <c r="C142" t="s">
        <v>11</v>
      </c>
      <c r="D142" s="1" t="s">
        <v>543</v>
      </c>
      <c r="E142">
        <f t="array" ref="E142">SUMPRODUCT(ISNUMBER(SEARCH(AgenticDict, D142))*1)</f>
        <v>10</v>
      </c>
      <c r="F142">
        <f t="array" ref="F142">SUMPRODUCT(ISNUMBER(SEARCH(CommunalDict, D142))*1)</f>
        <v>0</v>
      </c>
      <c r="G142">
        <f t="array" ref="G142">SUMPRODUCT(ISNUMBER(SEARCH(NeutralDict, D142))*1)</f>
        <v>12</v>
      </c>
      <c r="H142">
        <f t="shared" si="8"/>
        <v>0</v>
      </c>
      <c r="I142">
        <f t="shared" si="9"/>
        <v>164</v>
      </c>
      <c r="J142">
        <f>SUM( I142 / VLOOKUP(A142, BaseUP!A:H, 8, FALSE)*100)</f>
        <v>105.80645161290323</v>
      </c>
      <c r="K142">
        <f t="shared" si="10"/>
        <v>6.0975609756097562</v>
      </c>
      <c r="L142" t="s">
        <v>679</v>
      </c>
      <c r="M142" t="str">
        <f t="shared" si="11"/>
        <v>Pass</v>
      </c>
    </row>
    <row r="143" spans="1:13" ht="396" x14ac:dyDescent="0.25">
      <c r="A143">
        <v>71</v>
      </c>
      <c r="B143" t="s">
        <v>126</v>
      </c>
      <c r="C143" t="s">
        <v>13</v>
      </c>
      <c r="D143" s="1" t="s">
        <v>691</v>
      </c>
      <c r="E143">
        <f t="array" ref="E143">SUMPRODUCT(ISNUMBER(SEARCH(AgenticDict, D143))*1)</f>
        <v>1</v>
      </c>
      <c r="F143">
        <f t="array" ref="F143">SUMPRODUCT(ISNUMBER(SEARCH(CommunalDict, D143))*1)</f>
        <v>11</v>
      </c>
      <c r="G143">
        <f t="array" ref="G143">SUMPRODUCT(ISNUMBER(SEARCH(NeutralDict, D143))*1)</f>
        <v>11</v>
      </c>
      <c r="H143">
        <f t="shared" si="8"/>
        <v>0</v>
      </c>
      <c r="I143">
        <f t="shared" si="9"/>
        <v>169</v>
      </c>
      <c r="J143">
        <f>SUM( I143 / VLOOKUP(A143, BaseUP!A:H, 8, FALSE)*100)</f>
        <v>109.03225806451613</v>
      </c>
      <c r="K143">
        <f t="shared" si="10"/>
        <v>6.5088757396449708</v>
      </c>
      <c r="L143" t="s">
        <v>679</v>
      </c>
      <c r="M143" t="str">
        <f t="shared" si="11"/>
        <v>Pass</v>
      </c>
    </row>
    <row r="144" spans="1:13" ht="360" x14ac:dyDescent="0.25">
      <c r="A144">
        <v>72</v>
      </c>
      <c r="B144" t="s">
        <v>126</v>
      </c>
      <c r="C144" t="s">
        <v>11</v>
      </c>
      <c r="D144" s="1" t="s">
        <v>544</v>
      </c>
      <c r="E144">
        <f t="array" ref="E144">SUMPRODUCT(ISNUMBER(SEARCH(AgenticDict, D144))*1)</f>
        <v>10</v>
      </c>
      <c r="F144">
        <f t="array" ref="F144">SUMPRODUCT(ISNUMBER(SEARCH(CommunalDict, D144))*1)</f>
        <v>0</v>
      </c>
      <c r="G144">
        <f t="array" ref="G144">SUMPRODUCT(ISNUMBER(SEARCH(NeutralDict, D144))*1)</f>
        <v>14</v>
      </c>
      <c r="H144">
        <f t="shared" si="8"/>
        <v>0</v>
      </c>
      <c r="I144">
        <f t="shared" si="9"/>
        <v>157</v>
      </c>
      <c r="J144">
        <f>SUM( I144 / VLOOKUP(A144, BaseUP!A:H, 8, FALSE)*100)</f>
        <v>102.61437908496731</v>
      </c>
      <c r="K144">
        <f t="shared" si="10"/>
        <v>6.369426751592357</v>
      </c>
      <c r="L144" t="s">
        <v>679</v>
      </c>
      <c r="M144" t="str">
        <f t="shared" si="11"/>
        <v>Pass</v>
      </c>
    </row>
    <row r="145" spans="1:13" ht="360" x14ac:dyDescent="0.25">
      <c r="A145">
        <v>72</v>
      </c>
      <c r="B145" t="s">
        <v>126</v>
      </c>
      <c r="C145" t="s">
        <v>13</v>
      </c>
      <c r="D145" s="1" t="s">
        <v>1088</v>
      </c>
      <c r="E145">
        <f t="array" ref="E145">SUMPRODUCT(ISNUMBER(SEARCH(AgenticDict, D145))*1)</f>
        <v>1</v>
      </c>
      <c r="F145">
        <f t="array" ref="F145">SUMPRODUCT(ISNUMBER(SEARCH(CommunalDict, D145))*1)</f>
        <v>10</v>
      </c>
      <c r="G145">
        <f t="array" ref="G145">SUMPRODUCT(ISNUMBER(SEARCH(NeutralDict, D145))*1)</f>
        <v>14</v>
      </c>
      <c r="H145">
        <f t="shared" si="8"/>
        <v>0</v>
      </c>
      <c r="I145">
        <f t="shared" si="9"/>
        <v>158</v>
      </c>
      <c r="J145">
        <f>SUM( I145 / VLOOKUP(A145, BaseUP!A:H, 8, FALSE)*100)</f>
        <v>103.26797385620917</v>
      </c>
      <c r="K145">
        <f t="shared" si="10"/>
        <v>6.3291139240506329</v>
      </c>
      <c r="L145" t="s">
        <v>679</v>
      </c>
      <c r="M145" t="str">
        <f t="shared" si="11"/>
        <v>Pass</v>
      </c>
    </row>
    <row r="146" spans="1:13" ht="360" x14ac:dyDescent="0.25">
      <c r="A146">
        <v>73</v>
      </c>
      <c r="B146" t="s">
        <v>126</v>
      </c>
      <c r="C146" t="s">
        <v>11</v>
      </c>
      <c r="D146" s="1" t="s">
        <v>545</v>
      </c>
      <c r="E146">
        <f t="array" ref="E146">SUMPRODUCT(ISNUMBER(SEARCH(AgenticDict, D146))*1)</f>
        <v>10</v>
      </c>
      <c r="F146">
        <f t="array" ref="F146">SUMPRODUCT(ISNUMBER(SEARCH(CommunalDict, D146))*1)</f>
        <v>0</v>
      </c>
      <c r="G146">
        <f t="array" ref="G146">SUMPRODUCT(ISNUMBER(SEARCH(NeutralDict, D146))*1)</f>
        <v>14</v>
      </c>
      <c r="H146">
        <f t="shared" si="8"/>
        <v>0</v>
      </c>
      <c r="I146">
        <f t="shared" si="9"/>
        <v>152</v>
      </c>
      <c r="J146">
        <f>SUM( I146 / VLOOKUP(A146, BaseUP!A:H, 8, FALSE)*100)</f>
        <v>102.01342281879195</v>
      </c>
      <c r="K146">
        <f t="shared" si="10"/>
        <v>6.5789473684210522</v>
      </c>
      <c r="L146" t="s">
        <v>679</v>
      </c>
      <c r="M146" t="str">
        <f t="shared" si="11"/>
        <v>Pass</v>
      </c>
    </row>
    <row r="147" spans="1:13" ht="342" x14ac:dyDescent="0.25">
      <c r="A147">
        <v>73</v>
      </c>
      <c r="B147" t="s">
        <v>126</v>
      </c>
      <c r="C147" t="s">
        <v>13</v>
      </c>
      <c r="D147" s="1" t="s">
        <v>730</v>
      </c>
      <c r="E147">
        <f t="array" ref="E147">SUMPRODUCT(ISNUMBER(SEARCH(AgenticDict, D147))*1)</f>
        <v>3</v>
      </c>
      <c r="F147">
        <f t="array" ref="F147">SUMPRODUCT(ISNUMBER(SEARCH(CommunalDict, D147))*1)</f>
        <v>10</v>
      </c>
      <c r="G147">
        <f t="array" ref="G147">SUMPRODUCT(ISNUMBER(SEARCH(NeutralDict, D147))*1)</f>
        <v>13</v>
      </c>
      <c r="H147">
        <f t="shared" si="8"/>
        <v>0</v>
      </c>
      <c r="I147">
        <f t="shared" si="9"/>
        <v>149</v>
      </c>
      <c r="J147">
        <f>SUM( I147 / VLOOKUP(A147, BaseUP!A:H, 8, FALSE)*100)</f>
        <v>100</v>
      </c>
      <c r="K147">
        <f t="shared" si="10"/>
        <v>6.7114093959731544</v>
      </c>
      <c r="L147" t="s">
        <v>679</v>
      </c>
      <c r="M147" t="str">
        <f t="shared" si="11"/>
        <v>Pass</v>
      </c>
    </row>
    <row r="148" spans="1:13" ht="360" x14ac:dyDescent="0.25">
      <c r="A148">
        <v>74</v>
      </c>
      <c r="B148" t="s">
        <v>126</v>
      </c>
      <c r="C148" t="s">
        <v>11</v>
      </c>
      <c r="D148" s="1" t="s">
        <v>546</v>
      </c>
      <c r="E148">
        <f t="array" ref="E148">SUMPRODUCT(ISNUMBER(SEARCH(AgenticDict, D148))*1)</f>
        <v>10</v>
      </c>
      <c r="F148">
        <f t="array" ref="F148">SUMPRODUCT(ISNUMBER(SEARCH(CommunalDict, D148))*1)</f>
        <v>0</v>
      </c>
      <c r="G148">
        <f t="array" ref="G148">SUMPRODUCT(ISNUMBER(SEARCH(NeutralDict, D148))*1)</f>
        <v>16</v>
      </c>
      <c r="H148">
        <f t="shared" si="8"/>
        <v>0</v>
      </c>
      <c r="I148">
        <f t="shared" si="9"/>
        <v>165</v>
      </c>
      <c r="J148">
        <f>SUM( I148 / VLOOKUP(A148, BaseUP!A:H, 8, FALSE)*100)</f>
        <v>101.85185185185186</v>
      </c>
      <c r="K148">
        <f t="shared" si="10"/>
        <v>6.0606060606060606</v>
      </c>
      <c r="L148" t="s">
        <v>679</v>
      </c>
      <c r="M148" t="str">
        <f t="shared" si="11"/>
        <v>Pass</v>
      </c>
    </row>
    <row r="149" spans="1:13" ht="360" x14ac:dyDescent="0.25">
      <c r="A149">
        <v>74</v>
      </c>
      <c r="B149" t="s">
        <v>126</v>
      </c>
      <c r="C149" t="s">
        <v>13</v>
      </c>
      <c r="D149" s="1" t="s">
        <v>1089</v>
      </c>
      <c r="E149">
        <f t="array" ref="E149">SUMPRODUCT(ISNUMBER(SEARCH(AgenticDict, D149))*1)</f>
        <v>2</v>
      </c>
      <c r="F149">
        <f t="array" ref="F149">SUMPRODUCT(ISNUMBER(SEARCH(CommunalDict, D149))*1)</f>
        <v>9</v>
      </c>
      <c r="G149">
        <f t="array" ref="G149">SUMPRODUCT(ISNUMBER(SEARCH(NeutralDict, D149))*1)</f>
        <v>16</v>
      </c>
      <c r="H149">
        <f t="shared" si="8"/>
        <v>0</v>
      </c>
      <c r="I149">
        <f t="shared" si="9"/>
        <v>164</v>
      </c>
      <c r="J149">
        <f>SUM( I149 / VLOOKUP(A149, BaseUP!A:H, 8, FALSE)*100)</f>
        <v>101.23456790123457</v>
      </c>
      <c r="K149">
        <f t="shared" si="10"/>
        <v>5.4878048780487809</v>
      </c>
      <c r="L149" t="s">
        <v>679</v>
      </c>
      <c r="M149" t="str">
        <f t="shared" si="11"/>
        <v>Pass</v>
      </c>
    </row>
    <row r="150" spans="1:13" ht="378" x14ac:dyDescent="0.25">
      <c r="A150">
        <v>75</v>
      </c>
      <c r="B150" t="s">
        <v>126</v>
      </c>
      <c r="C150" t="s">
        <v>11</v>
      </c>
      <c r="D150" s="1" t="s">
        <v>547</v>
      </c>
      <c r="E150">
        <f t="array" ref="E150">SUMPRODUCT(ISNUMBER(SEARCH(AgenticDict, D150))*1)</f>
        <v>10</v>
      </c>
      <c r="F150">
        <f t="array" ref="F150">SUMPRODUCT(ISNUMBER(SEARCH(CommunalDict, D150))*1)</f>
        <v>0</v>
      </c>
      <c r="G150">
        <f t="array" ref="G150">SUMPRODUCT(ISNUMBER(SEARCH(NeutralDict, D150))*1)</f>
        <v>15</v>
      </c>
      <c r="H150">
        <f t="shared" si="8"/>
        <v>0</v>
      </c>
      <c r="I150">
        <f t="shared" si="9"/>
        <v>173</v>
      </c>
      <c r="J150">
        <f>SUM( I150 / VLOOKUP(A150, BaseUP!A:H, 8, FALSE)*100)</f>
        <v>99.425287356321832</v>
      </c>
      <c r="K150">
        <f t="shared" si="10"/>
        <v>5.7803468208092488</v>
      </c>
      <c r="L150" t="s">
        <v>679</v>
      </c>
      <c r="M150" t="str">
        <f t="shared" si="11"/>
        <v>Pass</v>
      </c>
    </row>
    <row r="151" spans="1:13" ht="378" x14ac:dyDescent="0.25">
      <c r="A151">
        <v>75</v>
      </c>
      <c r="B151" t="s">
        <v>126</v>
      </c>
      <c r="C151" t="s">
        <v>13</v>
      </c>
      <c r="D151" s="1" t="s">
        <v>1090</v>
      </c>
      <c r="E151">
        <f t="array" ref="E151">SUMPRODUCT(ISNUMBER(SEARCH(AgenticDict, D151))*1)</f>
        <v>2</v>
      </c>
      <c r="F151">
        <f t="array" ref="F151">SUMPRODUCT(ISNUMBER(SEARCH(CommunalDict, D151))*1)</f>
        <v>15</v>
      </c>
      <c r="G151">
        <f t="array" ref="G151">SUMPRODUCT(ISNUMBER(SEARCH(NeutralDict, D151))*1)</f>
        <v>12</v>
      </c>
      <c r="H151">
        <f t="shared" si="8"/>
        <v>0</v>
      </c>
      <c r="I151">
        <f t="shared" si="9"/>
        <v>181</v>
      </c>
      <c r="J151">
        <f>SUM( I151 / VLOOKUP(A151, BaseUP!A:H, 8, FALSE)*100)</f>
        <v>104.02298850574712</v>
      </c>
      <c r="K151">
        <f t="shared" si="10"/>
        <v>8.2872928176795568</v>
      </c>
      <c r="L151" t="s">
        <v>679</v>
      </c>
      <c r="M151" t="str">
        <f t="shared" si="11"/>
        <v>Pass</v>
      </c>
    </row>
    <row r="152" spans="1:13" ht="378" x14ac:dyDescent="0.25">
      <c r="A152">
        <v>76</v>
      </c>
      <c r="B152" t="s">
        <v>126</v>
      </c>
      <c r="C152" t="s">
        <v>11</v>
      </c>
      <c r="D152" s="1" t="s">
        <v>548</v>
      </c>
      <c r="E152">
        <f t="array" ref="E152">SUMPRODUCT(ISNUMBER(SEARCH(AgenticDict, D152))*1)</f>
        <v>14</v>
      </c>
      <c r="F152">
        <f t="array" ref="F152">SUMPRODUCT(ISNUMBER(SEARCH(CommunalDict, D152))*1)</f>
        <v>0</v>
      </c>
      <c r="G152">
        <f t="array" ref="G152">SUMPRODUCT(ISNUMBER(SEARCH(NeutralDict, D152))*1)</f>
        <v>12</v>
      </c>
      <c r="H152">
        <f t="shared" si="8"/>
        <v>0</v>
      </c>
      <c r="I152">
        <f t="shared" si="9"/>
        <v>168</v>
      </c>
      <c r="J152">
        <f>SUM( I152 / VLOOKUP(A152, BaseUP!A:H, 8, FALSE)*100)</f>
        <v>103.7037037037037</v>
      </c>
      <c r="K152">
        <f t="shared" si="10"/>
        <v>8.3333333333333321</v>
      </c>
      <c r="L152" t="s">
        <v>679</v>
      </c>
      <c r="M152" t="str">
        <f t="shared" si="11"/>
        <v>Pass</v>
      </c>
    </row>
    <row r="153" spans="1:13" ht="360" x14ac:dyDescent="0.25">
      <c r="A153">
        <v>76</v>
      </c>
      <c r="B153" t="s">
        <v>126</v>
      </c>
      <c r="C153" t="s">
        <v>13</v>
      </c>
      <c r="D153" s="1" t="s">
        <v>690</v>
      </c>
      <c r="E153">
        <f t="array" ref="E153">SUMPRODUCT(ISNUMBER(SEARCH(AgenticDict, D153))*1)</f>
        <v>2</v>
      </c>
      <c r="F153">
        <f t="array" ref="F153">SUMPRODUCT(ISNUMBER(SEARCH(CommunalDict, D153))*1)</f>
        <v>12</v>
      </c>
      <c r="G153">
        <f t="array" ref="G153">SUMPRODUCT(ISNUMBER(SEARCH(NeutralDict, D153))*1)</f>
        <v>11</v>
      </c>
      <c r="H153">
        <f t="shared" si="8"/>
        <v>0</v>
      </c>
      <c r="I153">
        <f t="shared" si="9"/>
        <v>170</v>
      </c>
      <c r="J153">
        <f>SUM( I153 / VLOOKUP(A153, BaseUP!A:H, 8, FALSE)*100)</f>
        <v>104.93827160493827</v>
      </c>
      <c r="K153">
        <f t="shared" si="10"/>
        <v>7.0588235294117645</v>
      </c>
      <c r="L153" t="s">
        <v>679</v>
      </c>
      <c r="M153" t="str">
        <f t="shared" si="11"/>
        <v>Pass</v>
      </c>
    </row>
    <row r="154" spans="1:13" ht="360" x14ac:dyDescent="0.25">
      <c r="A154">
        <v>77</v>
      </c>
      <c r="B154" t="s">
        <v>126</v>
      </c>
      <c r="C154" t="s">
        <v>11</v>
      </c>
      <c r="D154" s="1" t="s">
        <v>549</v>
      </c>
      <c r="E154">
        <f t="array" ref="E154">SUMPRODUCT(ISNUMBER(SEARCH(AgenticDict, D154))*1)</f>
        <v>12</v>
      </c>
      <c r="F154">
        <f t="array" ref="F154">SUMPRODUCT(ISNUMBER(SEARCH(CommunalDict, D154))*1)</f>
        <v>1</v>
      </c>
      <c r="G154">
        <f t="array" ref="G154">SUMPRODUCT(ISNUMBER(SEARCH(NeutralDict, D154))*1)</f>
        <v>11</v>
      </c>
      <c r="H154">
        <f t="shared" si="8"/>
        <v>0</v>
      </c>
      <c r="I154">
        <f t="shared" si="9"/>
        <v>156</v>
      </c>
      <c r="J154">
        <f>SUM( I154 / VLOOKUP(A154, BaseUP!A:H, 8, FALSE)*100)</f>
        <v>101.96078431372548</v>
      </c>
      <c r="K154">
        <f t="shared" si="10"/>
        <v>7.6923076923076925</v>
      </c>
      <c r="L154" t="s">
        <v>679</v>
      </c>
      <c r="M154" t="str">
        <f t="shared" si="11"/>
        <v>Pass</v>
      </c>
    </row>
    <row r="155" spans="1:13" ht="378" x14ac:dyDescent="0.25">
      <c r="A155">
        <v>77</v>
      </c>
      <c r="B155" t="s">
        <v>126</v>
      </c>
      <c r="C155" t="s">
        <v>13</v>
      </c>
      <c r="D155" s="1" t="s">
        <v>689</v>
      </c>
      <c r="E155">
        <f t="array" ref="E155">SUMPRODUCT(ISNUMBER(SEARCH(AgenticDict, D155))*1)</f>
        <v>3</v>
      </c>
      <c r="F155">
        <f t="array" ref="F155">SUMPRODUCT(ISNUMBER(SEARCH(CommunalDict, D155))*1)</f>
        <v>13</v>
      </c>
      <c r="G155">
        <f t="array" ref="G155">SUMPRODUCT(ISNUMBER(SEARCH(NeutralDict, D155))*1)</f>
        <v>11</v>
      </c>
      <c r="H155">
        <f t="shared" si="8"/>
        <v>0</v>
      </c>
      <c r="I155">
        <f t="shared" si="9"/>
        <v>160</v>
      </c>
      <c r="J155">
        <f>SUM( I155 / VLOOKUP(A155, BaseUP!A:H, 8, FALSE)*100)</f>
        <v>104.57516339869282</v>
      </c>
      <c r="K155">
        <f t="shared" si="10"/>
        <v>8.125</v>
      </c>
      <c r="L155" t="s">
        <v>679</v>
      </c>
      <c r="M155" t="str">
        <f t="shared" si="11"/>
        <v>Pass</v>
      </c>
    </row>
    <row r="156" spans="1:13" ht="360" x14ac:dyDescent="0.25">
      <c r="A156">
        <v>78</v>
      </c>
      <c r="B156" t="s">
        <v>126</v>
      </c>
      <c r="C156" t="s">
        <v>11</v>
      </c>
      <c r="D156" s="1" t="s">
        <v>731</v>
      </c>
      <c r="E156">
        <f t="array" ref="E156">SUMPRODUCT(ISNUMBER(SEARCH(AgenticDict, D156))*1)</f>
        <v>9</v>
      </c>
      <c r="F156">
        <f t="array" ref="F156">SUMPRODUCT(ISNUMBER(SEARCH(CommunalDict, D156))*1)</f>
        <v>0</v>
      </c>
      <c r="G156">
        <f t="array" ref="G156">SUMPRODUCT(ISNUMBER(SEARCH(NeutralDict, D156))*1)</f>
        <v>14</v>
      </c>
      <c r="H156">
        <f t="shared" si="8"/>
        <v>0</v>
      </c>
      <c r="I156">
        <f t="shared" si="9"/>
        <v>149</v>
      </c>
      <c r="J156">
        <f>SUM( I156 / VLOOKUP(A156, BaseUP!A:H, 8, FALSE)*100)</f>
        <v>105.67375886524823</v>
      </c>
      <c r="K156">
        <f t="shared" si="10"/>
        <v>6.0402684563758395</v>
      </c>
      <c r="L156" t="s">
        <v>679</v>
      </c>
      <c r="M156" t="str">
        <f t="shared" si="11"/>
        <v>Pass</v>
      </c>
    </row>
    <row r="157" spans="1:13" ht="360" x14ac:dyDescent="0.25">
      <c r="A157">
        <v>78</v>
      </c>
      <c r="B157" t="s">
        <v>126</v>
      </c>
      <c r="C157" t="s">
        <v>13</v>
      </c>
      <c r="D157" s="1" t="s">
        <v>688</v>
      </c>
      <c r="E157">
        <f t="array" ref="E157">SUMPRODUCT(ISNUMBER(SEARCH(AgenticDict, D157))*1)</f>
        <v>2</v>
      </c>
      <c r="F157">
        <f t="array" ref="F157">SUMPRODUCT(ISNUMBER(SEARCH(CommunalDict, D157))*1)</f>
        <v>9</v>
      </c>
      <c r="G157">
        <f t="array" ref="G157">SUMPRODUCT(ISNUMBER(SEARCH(NeutralDict, D157))*1)</f>
        <v>14</v>
      </c>
      <c r="H157">
        <f t="shared" si="8"/>
        <v>0</v>
      </c>
      <c r="I157">
        <f t="shared" si="9"/>
        <v>153</v>
      </c>
      <c r="J157">
        <f>SUM( I157 / VLOOKUP(A157, BaseUP!A:H, 8, FALSE)*100)</f>
        <v>108.51063829787233</v>
      </c>
      <c r="K157">
        <f t="shared" si="10"/>
        <v>5.8823529411764701</v>
      </c>
      <c r="L157" t="s">
        <v>679</v>
      </c>
      <c r="M157" t="str">
        <f t="shared" si="11"/>
        <v>Pass</v>
      </c>
    </row>
    <row r="158" spans="1:13" ht="378" x14ac:dyDescent="0.25">
      <c r="A158">
        <v>79</v>
      </c>
      <c r="B158" t="s">
        <v>126</v>
      </c>
      <c r="C158" t="s">
        <v>11</v>
      </c>
      <c r="D158" s="1" t="s">
        <v>550</v>
      </c>
      <c r="E158">
        <f t="array" ref="E158">SUMPRODUCT(ISNUMBER(SEARCH(AgenticDict, D158))*1)</f>
        <v>12</v>
      </c>
      <c r="F158">
        <f t="array" ref="F158">SUMPRODUCT(ISNUMBER(SEARCH(CommunalDict, D158))*1)</f>
        <v>0</v>
      </c>
      <c r="G158">
        <f t="array" ref="G158">SUMPRODUCT(ISNUMBER(SEARCH(NeutralDict, D158))*1)</f>
        <v>16</v>
      </c>
      <c r="H158">
        <f t="shared" si="8"/>
        <v>0</v>
      </c>
      <c r="I158">
        <f t="shared" si="9"/>
        <v>177</v>
      </c>
      <c r="J158">
        <f>SUM( I158 / VLOOKUP(A158, BaseUP!A:H, 8, FALSE)*100)</f>
        <v>102.90697674418605</v>
      </c>
      <c r="K158">
        <f t="shared" si="10"/>
        <v>6.7796610169491522</v>
      </c>
      <c r="L158" t="s">
        <v>679</v>
      </c>
      <c r="M158" t="str">
        <f t="shared" si="11"/>
        <v>Pass</v>
      </c>
    </row>
    <row r="159" spans="1:13" ht="396" x14ac:dyDescent="0.25">
      <c r="A159">
        <v>79</v>
      </c>
      <c r="B159" t="s">
        <v>126</v>
      </c>
      <c r="C159" t="s">
        <v>13</v>
      </c>
      <c r="D159" s="1" t="s">
        <v>687</v>
      </c>
      <c r="E159">
        <f t="array" ref="E159">SUMPRODUCT(ISNUMBER(SEARCH(AgenticDict, D159))*1)</f>
        <v>2</v>
      </c>
      <c r="F159">
        <f t="array" ref="F159">SUMPRODUCT(ISNUMBER(SEARCH(CommunalDict, D159))*1)</f>
        <v>16</v>
      </c>
      <c r="G159">
        <f t="array" ref="G159">SUMPRODUCT(ISNUMBER(SEARCH(NeutralDict, D159))*1)</f>
        <v>13</v>
      </c>
      <c r="H159">
        <f t="shared" si="8"/>
        <v>0</v>
      </c>
      <c r="I159">
        <f t="shared" si="9"/>
        <v>178</v>
      </c>
      <c r="J159">
        <f>SUM( I159 / VLOOKUP(A159, BaseUP!A:H, 8, FALSE)*100)</f>
        <v>103.48837209302326</v>
      </c>
      <c r="K159">
        <f t="shared" si="10"/>
        <v>8.9887640449438209</v>
      </c>
      <c r="L159" t="s">
        <v>679</v>
      </c>
      <c r="M159" t="str">
        <f t="shared" si="11"/>
        <v>Pass</v>
      </c>
    </row>
    <row r="160" spans="1:13" ht="360" x14ac:dyDescent="0.25">
      <c r="A160">
        <v>80</v>
      </c>
      <c r="B160" t="s">
        <v>126</v>
      </c>
      <c r="C160" t="s">
        <v>11</v>
      </c>
      <c r="D160" s="1" t="s">
        <v>551</v>
      </c>
      <c r="E160">
        <f t="array" ref="E160">SUMPRODUCT(ISNUMBER(SEARCH(AgenticDict, D160))*1)</f>
        <v>14</v>
      </c>
      <c r="F160">
        <f t="array" ref="F160">SUMPRODUCT(ISNUMBER(SEARCH(CommunalDict, D160))*1)</f>
        <v>0</v>
      </c>
      <c r="G160">
        <f t="array" ref="G160">SUMPRODUCT(ISNUMBER(SEARCH(NeutralDict, D160))*1)</f>
        <v>14</v>
      </c>
      <c r="H160">
        <f t="shared" si="8"/>
        <v>0</v>
      </c>
      <c r="I160">
        <f t="shared" si="9"/>
        <v>171</v>
      </c>
      <c r="J160">
        <f>SUM( I160 / VLOOKUP(A160, BaseUP!A:H, 8, FALSE)*100)</f>
        <v>100.58823529411765</v>
      </c>
      <c r="K160">
        <f t="shared" si="10"/>
        <v>8.1871345029239766</v>
      </c>
      <c r="L160" t="s">
        <v>679</v>
      </c>
      <c r="M160" t="str">
        <f t="shared" si="11"/>
        <v>Pass</v>
      </c>
    </row>
    <row r="161" spans="1:13" ht="360" x14ac:dyDescent="0.25">
      <c r="A161">
        <v>80</v>
      </c>
      <c r="B161" t="s">
        <v>126</v>
      </c>
      <c r="C161" t="s">
        <v>13</v>
      </c>
      <c r="D161" s="1" t="s">
        <v>1097</v>
      </c>
      <c r="E161">
        <f t="array" ref="E161">SUMPRODUCT(ISNUMBER(SEARCH(AgenticDict, D161))*1)</f>
        <v>1</v>
      </c>
      <c r="F161">
        <f t="array" ref="F161">SUMPRODUCT(ISNUMBER(SEARCH(CommunalDict, D161))*1)</f>
        <v>9</v>
      </c>
      <c r="G161">
        <f t="array" ref="G161">SUMPRODUCT(ISNUMBER(SEARCH(NeutralDict, D161))*1)</f>
        <v>16</v>
      </c>
      <c r="H161">
        <f t="shared" si="8"/>
        <v>0</v>
      </c>
      <c r="I161">
        <f t="shared" si="9"/>
        <v>177</v>
      </c>
      <c r="J161">
        <f>SUM( I161 / VLOOKUP(A161, BaseUP!A:H, 8, FALSE)*100)</f>
        <v>104.11764705882354</v>
      </c>
      <c r="K161">
        <f t="shared" si="10"/>
        <v>5.0847457627118651</v>
      </c>
      <c r="L161" t="s">
        <v>679</v>
      </c>
      <c r="M161" t="str">
        <f t="shared" si="11"/>
        <v>Pass</v>
      </c>
    </row>
    <row r="162" spans="1:13" ht="360" x14ac:dyDescent="0.25">
      <c r="A162">
        <v>81</v>
      </c>
      <c r="B162" t="s">
        <v>126</v>
      </c>
      <c r="C162" t="s">
        <v>11</v>
      </c>
      <c r="D162" s="1" t="s">
        <v>1091</v>
      </c>
      <c r="E162">
        <f t="array" ref="E162">SUMPRODUCT(ISNUMBER(SEARCH(AgenticDict, D162))*1)</f>
        <v>9</v>
      </c>
      <c r="F162">
        <f t="array" ref="F162">SUMPRODUCT(ISNUMBER(SEARCH(CommunalDict, D162))*1)</f>
        <v>1</v>
      </c>
      <c r="G162">
        <f t="array" ref="G162">SUMPRODUCT(ISNUMBER(SEARCH(NeutralDict, D162))*1)</f>
        <v>11</v>
      </c>
      <c r="H162">
        <f t="shared" si="8"/>
        <v>0</v>
      </c>
      <c r="I162">
        <f t="shared" si="9"/>
        <v>147</v>
      </c>
      <c r="J162">
        <f>SUM( I162 / VLOOKUP(A162, BaseUP!A:H, 8, FALSE)*100)</f>
        <v>102.08333333333333</v>
      </c>
      <c r="K162">
        <f t="shared" si="10"/>
        <v>6.1224489795918364</v>
      </c>
      <c r="L162" t="s">
        <v>679</v>
      </c>
      <c r="M162" t="str">
        <f t="shared" si="11"/>
        <v>Pass</v>
      </c>
    </row>
    <row r="163" spans="1:13" ht="360" x14ac:dyDescent="0.25">
      <c r="A163">
        <v>81</v>
      </c>
      <c r="B163" t="s">
        <v>126</v>
      </c>
      <c r="C163" t="s">
        <v>13</v>
      </c>
      <c r="D163" s="1" t="s">
        <v>552</v>
      </c>
      <c r="E163">
        <f t="array" ref="E163">SUMPRODUCT(ISNUMBER(SEARCH(AgenticDict, D163))*1)</f>
        <v>2</v>
      </c>
      <c r="F163">
        <f t="array" ref="F163">SUMPRODUCT(ISNUMBER(SEARCH(CommunalDict, D163))*1)</f>
        <v>8</v>
      </c>
      <c r="G163">
        <f t="array" ref="G163">SUMPRODUCT(ISNUMBER(SEARCH(NeutralDict, D163))*1)</f>
        <v>11</v>
      </c>
      <c r="H163">
        <f t="shared" si="8"/>
        <v>0</v>
      </c>
      <c r="I163">
        <f t="shared" si="9"/>
        <v>147</v>
      </c>
      <c r="J163">
        <f>SUM( I163 / VLOOKUP(A163, BaseUP!A:H, 8, FALSE)*100)</f>
        <v>102.08333333333333</v>
      </c>
      <c r="K163">
        <f t="shared" si="10"/>
        <v>5.4421768707482991</v>
      </c>
      <c r="L163" t="s">
        <v>679</v>
      </c>
      <c r="M163" t="str">
        <f t="shared" si="11"/>
        <v>Pass</v>
      </c>
    </row>
    <row r="164" spans="1:13" ht="378" x14ac:dyDescent="0.25">
      <c r="A164">
        <v>82</v>
      </c>
      <c r="B164" t="s">
        <v>126</v>
      </c>
      <c r="C164" t="s">
        <v>11</v>
      </c>
      <c r="D164" s="1" t="s">
        <v>686</v>
      </c>
      <c r="E164">
        <f t="array" ref="E164">SUMPRODUCT(ISNUMBER(SEARCH(AgenticDict, D164))*1)</f>
        <v>15</v>
      </c>
      <c r="F164">
        <f t="array" ref="F164">SUMPRODUCT(ISNUMBER(SEARCH(CommunalDict, D164))*1)</f>
        <v>1</v>
      </c>
      <c r="G164">
        <f t="array" ref="G164">SUMPRODUCT(ISNUMBER(SEARCH(NeutralDict, D164))*1)</f>
        <v>14</v>
      </c>
      <c r="H164">
        <f t="shared" si="8"/>
        <v>0</v>
      </c>
      <c r="I164">
        <f t="shared" si="9"/>
        <v>165</v>
      </c>
      <c r="J164">
        <f>SUM( I164 / VLOOKUP(A164, BaseUP!A:H, 8, FALSE)*100)</f>
        <v>100.60975609756098</v>
      </c>
      <c r="K164">
        <f t="shared" si="10"/>
        <v>9.0909090909090917</v>
      </c>
      <c r="L164" t="s">
        <v>679</v>
      </c>
      <c r="M164" t="str">
        <f t="shared" si="11"/>
        <v>Pass</v>
      </c>
    </row>
    <row r="165" spans="1:13" ht="378" x14ac:dyDescent="0.25">
      <c r="A165">
        <v>82</v>
      </c>
      <c r="B165" t="s">
        <v>126</v>
      </c>
      <c r="C165" t="s">
        <v>13</v>
      </c>
      <c r="D165" s="1" t="s">
        <v>553</v>
      </c>
      <c r="E165">
        <f t="array" ref="E165">SUMPRODUCT(ISNUMBER(SEARCH(AgenticDict, D165))*1)</f>
        <v>3</v>
      </c>
      <c r="F165">
        <f t="array" ref="F165">SUMPRODUCT(ISNUMBER(SEARCH(CommunalDict, D165))*1)</f>
        <v>9</v>
      </c>
      <c r="G165">
        <f t="array" ref="G165">SUMPRODUCT(ISNUMBER(SEARCH(NeutralDict, D165))*1)</f>
        <v>16</v>
      </c>
      <c r="H165">
        <f t="shared" si="8"/>
        <v>0</v>
      </c>
      <c r="I165">
        <f t="shared" si="9"/>
        <v>167</v>
      </c>
      <c r="J165">
        <f>SUM( I165 / VLOOKUP(A165, BaseUP!A:H, 8, FALSE)*100)</f>
        <v>101.82926829268293</v>
      </c>
      <c r="K165">
        <f t="shared" si="10"/>
        <v>5.3892215568862278</v>
      </c>
      <c r="L165" t="s">
        <v>679</v>
      </c>
      <c r="M165" t="str">
        <f t="shared" si="11"/>
        <v>Pass</v>
      </c>
    </row>
    <row r="166" spans="1:13" ht="342" x14ac:dyDescent="0.25">
      <c r="A166">
        <v>83</v>
      </c>
      <c r="B166" t="s">
        <v>126</v>
      </c>
      <c r="C166" t="s">
        <v>11</v>
      </c>
      <c r="D166" s="1" t="s">
        <v>554</v>
      </c>
      <c r="E166">
        <f t="array" ref="E166">SUMPRODUCT(ISNUMBER(SEARCH(AgenticDict, D166))*1)</f>
        <v>9</v>
      </c>
      <c r="F166">
        <f t="array" ref="F166">SUMPRODUCT(ISNUMBER(SEARCH(CommunalDict, D166))*1)</f>
        <v>0</v>
      </c>
      <c r="G166">
        <f t="array" ref="G166">SUMPRODUCT(ISNUMBER(SEARCH(NeutralDict, D166))*1)</f>
        <v>13</v>
      </c>
      <c r="H166">
        <f t="shared" si="8"/>
        <v>0</v>
      </c>
      <c r="I166">
        <f t="shared" si="9"/>
        <v>153</v>
      </c>
      <c r="J166">
        <f>SUM( I166 / VLOOKUP(A166, BaseUP!A:H, 8, FALSE)*100)</f>
        <v>102</v>
      </c>
      <c r="K166">
        <f t="shared" si="10"/>
        <v>5.8823529411764701</v>
      </c>
      <c r="L166" t="s">
        <v>679</v>
      </c>
      <c r="M166" t="str">
        <f t="shared" si="11"/>
        <v>Pass</v>
      </c>
    </row>
    <row r="167" spans="1:13" ht="360" x14ac:dyDescent="0.25">
      <c r="A167">
        <v>83</v>
      </c>
      <c r="B167" t="s">
        <v>126</v>
      </c>
      <c r="C167" t="s">
        <v>13</v>
      </c>
      <c r="D167" s="1" t="s">
        <v>555</v>
      </c>
      <c r="E167">
        <f t="array" ref="E167">SUMPRODUCT(ISNUMBER(SEARCH(AgenticDict, D167))*1)</f>
        <v>1</v>
      </c>
      <c r="F167">
        <f t="array" ref="F167">SUMPRODUCT(ISNUMBER(SEARCH(CommunalDict, D167))*1)</f>
        <v>12</v>
      </c>
      <c r="G167">
        <f t="array" ref="G167">SUMPRODUCT(ISNUMBER(SEARCH(NeutralDict, D167))*1)</f>
        <v>13</v>
      </c>
      <c r="H167">
        <f t="shared" si="8"/>
        <v>0</v>
      </c>
      <c r="I167">
        <f t="shared" si="9"/>
        <v>160</v>
      </c>
      <c r="J167">
        <f>SUM( I167 / VLOOKUP(A167, BaseUP!A:H, 8, FALSE)*100)</f>
        <v>106.66666666666667</v>
      </c>
      <c r="K167">
        <f t="shared" si="10"/>
        <v>7.5</v>
      </c>
      <c r="L167" t="s">
        <v>679</v>
      </c>
      <c r="M167" t="str">
        <f t="shared" si="11"/>
        <v>Pass</v>
      </c>
    </row>
    <row r="168" spans="1:13" ht="360" x14ac:dyDescent="0.25">
      <c r="A168">
        <v>84</v>
      </c>
      <c r="B168" t="s">
        <v>126</v>
      </c>
      <c r="C168" t="s">
        <v>11</v>
      </c>
      <c r="D168" s="1" t="s">
        <v>1092</v>
      </c>
      <c r="E168">
        <f t="array" ref="E168">SUMPRODUCT(ISNUMBER(SEARCH(AgenticDict, D168))*1)</f>
        <v>8</v>
      </c>
      <c r="F168">
        <f t="array" ref="F168">SUMPRODUCT(ISNUMBER(SEARCH(CommunalDict, D168))*1)</f>
        <v>0</v>
      </c>
      <c r="G168">
        <f t="array" ref="G168">SUMPRODUCT(ISNUMBER(SEARCH(NeutralDict, D168))*1)</f>
        <v>14</v>
      </c>
      <c r="H168">
        <f t="shared" si="8"/>
        <v>0</v>
      </c>
      <c r="I168">
        <f t="shared" si="9"/>
        <v>154</v>
      </c>
      <c r="J168">
        <f>SUM( I168 / VLOOKUP(A168, BaseUP!A:H, 8, FALSE)*100)</f>
        <v>97.468354430379748</v>
      </c>
      <c r="K168">
        <f t="shared" si="10"/>
        <v>5.1948051948051948</v>
      </c>
      <c r="L168" t="s">
        <v>679</v>
      </c>
      <c r="M168" t="str">
        <f t="shared" si="11"/>
        <v>Pass</v>
      </c>
    </row>
    <row r="169" spans="1:13" ht="360" x14ac:dyDescent="0.25">
      <c r="A169">
        <v>84</v>
      </c>
      <c r="B169" t="s">
        <v>126</v>
      </c>
      <c r="C169" t="s">
        <v>13</v>
      </c>
      <c r="D169" s="1" t="s">
        <v>556</v>
      </c>
      <c r="E169">
        <f t="array" ref="E169">SUMPRODUCT(ISNUMBER(SEARCH(AgenticDict, D169))*1)</f>
        <v>3</v>
      </c>
      <c r="F169">
        <f t="array" ref="F169">SUMPRODUCT(ISNUMBER(SEARCH(CommunalDict, D169))*1)</f>
        <v>9</v>
      </c>
      <c r="G169">
        <f t="array" ref="G169">SUMPRODUCT(ISNUMBER(SEARCH(NeutralDict, D169))*1)</f>
        <v>14</v>
      </c>
      <c r="H169">
        <f t="shared" si="8"/>
        <v>0</v>
      </c>
      <c r="I169">
        <f t="shared" si="9"/>
        <v>160</v>
      </c>
      <c r="J169">
        <f>SUM( I169 / VLOOKUP(A169, BaseUP!A:H, 8, FALSE)*100)</f>
        <v>101.26582278481013</v>
      </c>
      <c r="K169">
        <f t="shared" si="10"/>
        <v>5.625</v>
      </c>
      <c r="L169" t="s">
        <v>679</v>
      </c>
      <c r="M169" t="str">
        <f t="shared" si="11"/>
        <v>Pass</v>
      </c>
    </row>
    <row r="170" spans="1:13" ht="360" x14ac:dyDescent="0.25">
      <c r="A170">
        <v>85</v>
      </c>
      <c r="B170" t="s">
        <v>126</v>
      </c>
      <c r="C170" t="s">
        <v>11</v>
      </c>
      <c r="D170" s="1" t="s">
        <v>685</v>
      </c>
      <c r="E170">
        <f t="array" ref="E170">SUMPRODUCT(ISNUMBER(SEARCH(AgenticDict, D170))*1)</f>
        <v>12</v>
      </c>
      <c r="F170">
        <f t="array" ref="F170">SUMPRODUCT(ISNUMBER(SEARCH(CommunalDict, D170))*1)</f>
        <v>0</v>
      </c>
      <c r="G170">
        <f t="array" ref="G170">SUMPRODUCT(ISNUMBER(SEARCH(NeutralDict, D170))*1)</f>
        <v>17</v>
      </c>
      <c r="H170">
        <f t="shared" si="8"/>
        <v>0</v>
      </c>
      <c r="I170">
        <f t="shared" si="9"/>
        <v>155</v>
      </c>
      <c r="J170">
        <f>SUM( I170 / VLOOKUP(A170, BaseUP!A:H, 8, FALSE)*100)</f>
        <v>108.3916083916084</v>
      </c>
      <c r="K170">
        <f t="shared" si="10"/>
        <v>7.741935483870968</v>
      </c>
      <c r="L170" t="s">
        <v>679</v>
      </c>
      <c r="M170" t="str">
        <f t="shared" si="11"/>
        <v>Pass</v>
      </c>
    </row>
    <row r="171" spans="1:13" ht="378" x14ac:dyDescent="0.25">
      <c r="A171">
        <v>85</v>
      </c>
      <c r="B171" t="s">
        <v>126</v>
      </c>
      <c r="C171" t="s">
        <v>13</v>
      </c>
      <c r="D171" s="1" t="s">
        <v>684</v>
      </c>
      <c r="E171">
        <f t="array" ref="E171">SUMPRODUCT(ISNUMBER(SEARCH(AgenticDict, D171))*1)</f>
        <v>2</v>
      </c>
      <c r="F171">
        <f t="array" ref="F171">SUMPRODUCT(ISNUMBER(SEARCH(CommunalDict, D171))*1)</f>
        <v>14</v>
      </c>
      <c r="G171">
        <f t="array" ref="G171">SUMPRODUCT(ISNUMBER(SEARCH(NeutralDict, D171))*1)</f>
        <v>16</v>
      </c>
      <c r="H171">
        <f t="shared" si="8"/>
        <v>0</v>
      </c>
      <c r="I171">
        <f t="shared" si="9"/>
        <v>158</v>
      </c>
      <c r="J171">
        <f>SUM( I171 / VLOOKUP(A171, BaseUP!A:H, 8, FALSE)*100)</f>
        <v>110.48951048951048</v>
      </c>
      <c r="K171">
        <f t="shared" si="10"/>
        <v>8.8607594936708853</v>
      </c>
      <c r="L171" t="s">
        <v>679</v>
      </c>
      <c r="M171" t="str">
        <f t="shared" si="11"/>
        <v>Pass</v>
      </c>
    </row>
    <row r="172" spans="1:13" ht="360" x14ac:dyDescent="0.25">
      <c r="A172">
        <v>86</v>
      </c>
      <c r="B172" t="s">
        <v>126</v>
      </c>
      <c r="C172" t="s">
        <v>11</v>
      </c>
      <c r="D172" s="1" t="s">
        <v>557</v>
      </c>
      <c r="E172">
        <f t="array" ref="E172">SUMPRODUCT(ISNUMBER(SEARCH(AgenticDict, D172))*1)</f>
        <v>11</v>
      </c>
      <c r="F172">
        <f t="array" ref="F172">SUMPRODUCT(ISNUMBER(SEARCH(CommunalDict, D172))*1)</f>
        <v>0</v>
      </c>
      <c r="G172">
        <f t="array" ref="G172">SUMPRODUCT(ISNUMBER(SEARCH(NeutralDict, D172))*1)</f>
        <v>13</v>
      </c>
      <c r="H172">
        <f t="shared" si="8"/>
        <v>0</v>
      </c>
      <c r="I172">
        <f t="shared" si="9"/>
        <v>172</v>
      </c>
      <c r="J172">
        <f>SUM( I172 / VLOOKUP(A172, BaseUP!A:H, 8, FALSE)*100)</f>
        <v>104.8780487804878</v>
      </c>
      <c r="K172">
        <f t="shared" si="10"/>
        <v>6.395348837209303</v>
      </c>
      <c r="L172" t="s">
        <v>679</v>
      </c>
      <c r="M172" t="str">
        <f t="shared" si="11"/>
        <v>Pass</v>
      </c>
    </row>
    <row r="173" spans="1:13" ht="360" x14ac:dyDescent="0.25">
      <c r="A173">
        <v>86</v>
      </c>
      <c r="B173" t="s">
        <v>126</v>
      </c>
      <c r="C173" t="s">
        <v>13</v>
      </c>
      <c r="D173" s="1" t="s">
        <v>558</v>
      </c>
      <c r="E173">
        <f t="array" ref="E173">SUMPRODUCT(ISNUMBER(SEARCH(AgenticDict, D173))*1)</f>
        <v>0</v>
      </c>
      <c r="F173">
        <f t="array" ref="F173">SUMPRODUCT(ISNUMBER(SEARCH(CommunalDict, D173))*1)</f>
        <v>10</v>
      </c>
      <c r="G173">
        <f t="array" ref="G173">SUMPRODUCT(ISNUMBER(SEARCH(NeutralDict, D173))*1)</f>
        <v>12</v>
      </c>
      <c r="H173">
        <f t="shared" si="8"/>
        <v>0</v>
      </c>
      <c r="I173">
        <f t="shared" si="9"/>
        <v>172</v>
      </c>
      <c r="J173">
        <f>SUM( I173 / VLOOKUP(A173, BaseUP!A:H, 8, FALSE)*100)</f>
        <v>104.8780487804878</v>
      </c>
      <c r="K173">
        <f t="shared" si="10"/>
        <v>5.8139534883720927</v>
      </c>
      <c r="L173" t="s">
        <v>679</v>
      </c>
      <c r="M173" t="str">
        <f t="shared" si="11"/>
        <v>Pass</v>
      </c>
    </row>
    <row r="174" spans="1:13" ht="360" x14ac:dyDescent="0.25">
      <c r="A174">
        <v>87</v>
      </c>
      <c r="B174" t="s">
        <v>126</v>
      </c>
      <c r="C174" t="s">
        <v>11</v>
      </c>
      <c r="D174" s="1" t="s">
        <v>559</v>
      </c>
      <c r="E174">
        <f t="array" ref="E174">SUMPRODUCT(ISNUMBER(SEARCH(AgenticDict, D174))*1)</f>
        <v>10</v>
      </c>
      <c r="F174">
        <f t="array" ref="F174">SUMPRODUCT(ISNUMBER(SEARCH(CommunalDict, D174))*1)</f>
        <v>0</v>
      </c>
      <c r="G174">
        <f t="array" ref="G174">SUMPRODUCT(ISNUMBER(SEARCH(NeutralDict, D174))*1)</f>
        <v>14</v>
      </c>
      <c r="H174">
        <f t="shared" si="8"/>
        <v>0</v>
      </c>
      <c r="I174">
        <f t="shared" si="9"/>
        <v>159</v>
      </c>
      <c r="J174">
        <f>SUM( I174 / VLOOKUP(A174, BaseUP!A:H, 8, FALSE)*100)</f>
        <v>103.24675324675326</v>
      </c>
      <c r="K174">
        <f t="shared" si="10"/>
        <v>6.2893081761006293</v>
      </c>
      <c r="L174" t="s">
        <v>679</v>
      </c>
      <c r="M174" t="str">
        <f t="shared" si="11"/>
        <v>Pass</v>
      </c>
    </row>
    <row r="175" spans="1:13" ht="360" x14ac:dyDescent="0.25">
      <c r="A175">
        <v>87</v>
      </c>
      <c r="B175" t="s">
        <v>126</v>
      </c>
      <c r="C175" t="s">
        <v>13</v>
      </c>
      <c r="D175" s="1" t="s">
        <v>1098</v>
      </c>
      <c r="E175">
        <f t="array" ref="E175">SUMPRODUCT(ISNUMBER(SEARCH(AgenticDict, D175))*1)</f>
        <v>0</v>
      </c>
      <c r="F175">
        <f t="array" ref="F175">SUMPRODUCT(ISNUMBER(SEARCH(CommunalDict, D175))*1)</f>
        <v>8</v>
      </c>
      <c r="G175">
        <f t="array" ref="G175">SUMPRODUCT(ISNUMBER(SEARCH(NeutralDict, D175))*1)</f>
        <v>13</v>
      </c>
      <c r="H175">
        <f t="shared" si="8"/>
        <v>0</v>
      </c>
      <c r="I175">
        <f t="shared" si="9"/>
        <v>156</v>
      </c>
      <c r="J175">
        <f>SUM( I175 / VLOOKUP(A175, BaseUP!A:H, 8, FALSE)*100)</f>
        <v>101.29870129870129</v>
      </c>
      <c r="K175">
        <f t="shared" si="10"/>
        <v>5.1282051282051277</v>
      </c>
      <c r="L175" t="s">
        <v>679</v>
      </c>
      <c r="M175" t="str">
        <f t="shared" si="11"/>
        <v>Pass</v>
      </c>
    </row>
    <row r="176" spans="1:13" ht="378" x14ac:dyDescent="0.25">
      <c r="A176">
        <v>88</v>
      </c>
      <c r="B176" t="s">
        <v>126</v>
      </c>
      <c r="C176" t="s">
        <v>11</v>
      </c>
      <c r="D176" s="1" t="s">
        <v>683</v>
      </c>
      <c r="E176">
        <f t="array" ref="E176">SUMPRODUCT(ISNUMBER(SEARCH(AgenticDict, D176))*1)</f>
        <v>9</v>
      </c>
      <c r="F176">
        <f t="array" ref="F176">SUMPRODUCT(ISNUMBER(SEARCH(CommunalDict, D176))*1)</f>
        <v>0</v>
      </c>
      <c r="G176">
        <f t="array" ref="G176">SUMPRODUCT(ISNUMBER(SEARCH(NeutralDict, D176))*1)</f>
        <v>14</v>
      </c>
      <c r="H176">
        <f t="shared" si="8"/>
        <v>0</v>
      </c>
      <c r="I176">
        <f t="shared" si="9"/>
        <v>165</v>
      </c>
      <c r="J176">
        <f>SUM( I176 / VLOOKUP(A176, BaseUP!A:H, 8, FALSE)*100)</f>
        <v>104.43037974683544</v>
      </c>
      <c r="K176">
        <f t="shared" si="10"/>
        <v>5.4545454545454541</v>
      </c>
      <c r="L176" t="s">
        <v>679</v>
      </c>
      <c r="M176" t="str">
        <f t="shared" si="11"/>
        <v>Pass</v>
      </c>
    </row>
    <row r="177" spans="1:13" ht="360" x14ac:dyDescent="0.25">
      <c r="A177">
        <v>88</v>
      </c>
      <c r="B177" t="s">
        <v>126</v>
      </c>
      <c r="C177" t="s">
        <v>13</v>
      </c>
      <c r="D177" s="1" t="s">
        <v>1099</v>
      </c>
      <c r="E177">
        <f t="array" ref="E177">SUMPRODUCT(ISNUMBER(SEARCH(AgenticDict, D177))*1)</f>
        <v>2</v>
      </c>
      <c r="F177">
        <f t="array" ref="F177">SUMPRODUCT(ISNUMBER(SEARCH(CommunalDict, D177))*1)</f>
        <v>9</v>
      </c>
      <c r="G177">
        <f t="array" ref="G177">SUMPRODUCT(ISNUMBER(SEARCH(NeutralDict, D177))*1)</f>
        <v>14</v>
      </c>
      <c r="H177">
        <f t="shared" si="8"/>
        <v>0</v>
      </c>
      <c r="I177">
        <f t="shared" si="9"/>
        <v>166</v>
      </c>
      <c r="J177">
        <f>SUM( I177 / VLOOKUP(A177, BaseUP!A:H, 8, FALSE)*100)</f>
        <v>105.0632911392405</v>
      </c>
      <c r="K177">
        <f t="shared" si="10"/>
        <v>5.4216867469879517</v>
      </c>
      <c r="L177" t="s">
        <v>679</v>
      </c>
      <c r="M177" t="str">
        <f t="shared" si="11"/>
        <v>Pass</v>
      </c>
    </row>
    <row r="178" spans="1:13" ht="378" x14ac:dyDescent="0.25">
      <c r="A178">
        <v>89</v>
      </c>
      <c r="B178" t="s">
        <v>126</v>
      </c>
      <c r="C178" t="s">
        <v>11</v>
      </c>
      <c r="D178" s="1" t="s">
        <v>560</v>
      </c>
      <c r="E178">
        <f t="array" ref="E178">SUMPRODUCT(ISNUMBER(SEARCH(AgenticDict, D178))*1)</f>
        <v>10</v>
      </c>
      <c r="F178">
        <f t="array" ref="F178">SUMPRODUCT(ISNUMBER(SEARCH(CommunalDict, D178))*1)</f>
        <v>0</v>
      </c>
      <c r="G178">
        <f t="array" ref="G178">SUMPRODUCT(ISNUMBER(SEARCH(NeutralDict, D178))*1)</f>
        <v>16</v>
      </c>
      <c r="H178">
        <f t="shared" si="8"/>
        <v>0</v>
      </c>
      <c r="I178">
        <f t="shared" si="9"/>
        <v>169</v>
      </c>
      <c r="J178">
        <f>SUM( I178 / VLOOKUP(A178, BaseUP!A:H, 8, FALSE)*100)</f>
        <v>103.68098159509202</v>
      </c>
      <c r="K178">
        <f t="shared" si="10"/>
        <v>5.9171597633136095</v>
      </c>
      <c r="L178" t="s">
        <v>679</v>
      </c>
      <c r="M178" t="str">
        <f t="shared" si="11"/>
        <v>Pass</v>
      </c>
    </row>
    <row r="179" spans="1:13" ht="378" x14ac:dyDescent="0.25">
      <c r="A179">
        <v>89</v>
      </c>
      <c r="B179" t="s">
        <v>126</v>
      </c>
      <c r="C179" t="s">
        <v>13</v>
      </c>
      <c r="D179" s="1" t="s">
        <v>682</v>
      </c>
      <c r="E179">
        <f t="array" ref="E179">SUMPRODUCT(ISNUMBER(SEARCH(AgenticDict, D179))*1)</f>
        <v>1</v>
      </c>
      <c r="F179">
        <f t="array" ref="F179">SUMPRODUCT(ISNUMBER(SEARCH(CommunalDict, D179))*1)</f>
        <v>14</v>
      </c>
      <c r="G179">
        <f t="array" ref="G179">SUMPRODUCT(ISNUMBER(SEARCH(NeutralDict, D179))*1)</f>
        <v>15</v>
      </c>
      <c r="H179">
        <f t="shared" si="8"/>
        <v>0</v>
      </c>
      <c r="I179">
        <f t="shared" si="9"/>
        <v>173</v>
      </c>
      <c r="J179">
        <f>SUM( I179 / VLOOKUP(A179, BaseUP!A:H, 8, FALSE)*100)</f>
        <v>106.13496932515338</v>
      </c>
      <c r="K179">
        <f t="shared" si="10"/>
        <v>8.0924855491329488</v>
      </c>
      <c r="L179" t="s">
        <v>679</v>
      </c>
      <c r="M179" t="str">
        <f t="shared" si="11"/>
        <v>Pass</v>
      </c>
    </row>
    <row r="180" spans="1:13" ht="360" x14ac:dyDescent="0.25">
      <c r="A180">
        <v>90</v>
      </c>
      <c r="B180" t="s">
        <v>126</v>
      </c>
      <c r="C180" t="s">
        <v>11</v>
      </c>
      <c r="D180" s="1" t="s">
        <v>561</v>
      </c>
      <c r="E180">
        <f t="array" ref="E180">SUMPRODUCT(ISNUMBER(SEARCH(AgenticDict, D180))*1)</f>
        <v>9</v>
      </c>
      <c r="F180">
        <f t="array" ref="F180">SUMPRODUCT(ISNUMBER(SEARCH(CommunalDict, D180))*1)</f>
        <v>0</v>
      </c>
      <c r="G180">
        <f t="array" ref="G180">SUMPRODUCT(ISNUMBER(SEARCH(NeutralDict, D180))*1)</f>
        <v>16</v>
      </c>
      <c r="H180">
        <f t="shared" si="8"/>
        <v>0</v>
      </c>
      <c r="I180">
        <f t="shared" si="9"/>
        <v>160</v>
      </c>
      <c r="J180">
        <f>SUM( I180 / VLOOKUP(A180, BaseUP!A:H, 8, FALSE)*100)</f>
        <v>100</v>
      </c>
      <c r="K180">
        <f t="shared" si="10"/>
        <v>5.625</v>
      </c>
      <c r="L180" t="s">
        <v>679</v>
      </c>
      <c r="M180" t="str">
        <f t="shared" si="11"/>
        <v>Pass</v>
      </c>
    </row>
    <row r="181" spans="1:13" ht="378" x14ac:dyDescent="0.25">
      <c r="A181">
        <v>90</v>
      </c>
      <c r="B181" t="s">
        <v>126</v>
      </c>
      <c r="C181" t="s">
        <v>13</v>
      </c>
      <c r="D181" s="1" t="s">
        <v>562</v>
      </c>
      <c r="E181">
        <f t="array" ref="E181">SUMPRODUCT(ISNUMBER(SEARCH(AgenticDict, D181))*1)</f>
        <v>3</v>
      </c>
      <c r="F181">
        <f t="array" ref="F181">SUMPRODUCT(ISNUMBER(SEARCH(CommunalDict, D181))*1)</f>
        <v>11</v>
      </c>
      <c r="G181">
        <f t="array" ref="G181">SUMPRODUCT(ISNUMBER(SEARCH(NeutralDict, D181))*1)</f>
        <v>16</v>
      </c>
      <c r="H181">
        <f t="shared" si="8"/>
        <v>0</v>
      </c>
      <c r="I181">
        <f t="shared" si="9"/>
        <v>170</v>
      </c>
      <c r="J181">
        <f>SUM( I181 / VLOOKUP(A181, BaseUP!A:H, 8, FALSE)*100)</f>
        <v>106.25</v>
      </c>
      <c r="K181">
        <f t="shared" si="10"/>
        <v>6.4705882352941186</v>
      </c>
      <c r="L181" t="s">
        <v>679</v>
      </c>
      <c r="M181" t="str">
        <f t="shared" si="11"/>
        <v>Pass</v>
      </c>
    </row>
  </sheetData>
  <autoFilter ref="A1:M181" xr:uid="{F99C3855-D975-4FF7-9948-B793A82C4F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4002-DED9-427E-9425-18105659B478}">
  <dimension ref="A1:H91"/>
  <sheetViews>
    <sheetView topLeftCell="A40" workbookViewId="0">
      <selection activeCell="C40" sqref="C40"/>
    </sheetView>
  </sheetViews>
  <sheetFormatPr defaultRowHeight="18" x14ac:dyDescent="0.25"/>
  <sheetData>
    <row r="1" spans="1:8" x14ac:dyDescent="0.25">
      <c r="A1" t="s">
        <v>0</v>
      </c>
      <c r="B1" t="s">
        <v>1</v>
      </c>
      <c r="C1" t="s">
        <v>3</v>
      </c>
      <c r="D1" t="s">
        <v>4</v>
      </c>
      <c r="E1" t="s">
        <v>5</v>
      </c>
      <c r="F1" t="s">
        <v>6</v>
      </c>
      <c r="G1" t="s">
        <v>7</v>
      </c>
      <c r="H1" t="s">
        <v>8</v>
      </c>
    </row>
    <row r="2" spans="1:8" x14ac:dyDescent="0.25">
      <c r="A2">
        <v>1</v>
      </c>
      <c r="B2" t="s">
        <v>10</v>
      </c>
      <c r="C2" t="s">
        <v>1100</v>
      </c>
      <c r="D2">
        <v>2</v>
      </c>
      <c r="E2">
        <v>0</v>
      </c>
      <c r="F2">
        <v>28</v>
      </c>
      <c r="G2">
        <v>0</v>
      </c>
      <c r="H2">
        <v>144</v>
      </c>
    </row>
    <row r="3" spans="1:8" x14ac:dyDescent="0.25">
      <c r="A3">
        <v>2</v>
      </c>
      <c r="B3" t="s">
        <v>10</v>
      </c>
      <c r="C3" t="s">
        <v>1101</v>
      </c>
      <c r="D3">
        <v>3</v>
      </c>
      <c r="E3">
        <v>0</v>
      </c>
      <c r="F3">
        <v>22</v>
      </c>
      <c r="G3">
        <v>0</v>
      </c>
      <c r="H3">
        <v>139</v>
      </c>
    </row>
    <row r="4" spans="1:8" x14ac:dyDescent="0.25">
      <c r="A4">
        <v>3</v>
      </c>
      <c r="B4" t="s">
        <v>69</v>
      </c>
      <c r="C4" t="s">
        <v>1102</v>
      </c>
      <c r="D4">
        <v>2</v>
      </c>
      <c r="E4">
        <v>0</v>
      </c>
      <c r="F4">
        <v>20</v>
      </c>
      <c r="G4">
        <v>0</v>
      </c>
      <c r="H4">
        <v>131</v>
      </c>
    </row>
    <row r="5" spans="1:8" x14ac:dyDescent="0.25">
      <c r="A5">
        <v>4</v>
      </c>
      <c r="B5" t="s">
        <v>69</v>
      </c>
      <c r="C5" t="s">
        <v>1103</v>
      </c>
      <c r="D5">
        <v>1</v>
      </c>
      <c r="E5">
        <v>0</v>
      </c>
      <c r="F5">
        <v>20</v>
      </c>
      <c r="G5">
        <v>0</v>
      </c>
      <c r="H5">
        <v>127</v>
      </c>
    </row>
    <row r="6" spans="1:8" x14ac:dyDescent="0.25">
      <c r="A6">
        <v>5</v>
      </c>
      <c r="B6" t="s">
        <v>126</v>
      </c>
      <c r="C6" t="s">
        <v>1104</v>
      </c>
      <c r="D6">
        <v>2</v>
      </c>
      <c r="E6">
        <v>1</v>
      </c>
      <c r="F6">
        <v>18</v>
      </c>
      <c r="G6">
        <v>0</v>
      </c>
      <c r="H6">
        <v>138</v>
      </c>
    </row>
    <row r="7" spans="1:8" x14ac:dyDescent="0.25">
      <c r="A7">
        <v>6</v>
      </c>
      <c r="B7" t="s">
        <v>126</v>
      </c>
      <c r="C7" t="s">
        <v>1105</v>
      </c>
      <c r="D7">
        <v>2</v>
      </c>
      <c r="E7">
        <v>0</v>
      </c>
      <c r="F7">
        <v>19</v>
      </c>
      <c r="G7">
        <v>0</v>
      </c>
      <c r="H7">
        <v>125</v>
      </c>
    </row>
    <row r="8" spans="1:8" ht="409.5" x14ac:dyDescent="0.25">
      <c r="A8">
        <v>7</v>
      </c>
      <c r="B8" t="s">
        <v>10</v>
      </c>
      <c r="C8" s="1" t="s">
        <v>1230</v>
      </c>
      <c r="D8">
        <v>3</v>
      </c>
      <c r="E8">
        <v>2</v>
      </c>
      <c r="F8">
        <v>13</v>
      </c>
      <c r="G8">
        <v>0</v>
      </c>
      <c r="H8">
        <f>IF(LEN(TRIM(C8))=0,0,LEN(TRIM(C8))-LEN(SUBSTITUTE(TRIM(C8)," ",""))+7)</f>
        <v>128</v>
      </c>
    </row>
    <row r="9" spans="1:8" ht="409.5" x14ac:dyDescent="0.25">
      <c r="A9">
        <v>8</v>
      </c>
      <c r="B9" t="s">
        <v>10</v>
      </c>
      <c r="C9" s="1" t="s">
        <v>1231</v>
      </c>
      <c r="D9">
        <v>2</v>
      </c>
      <c r="E9">
        <v>3</v>
      </c>
      <c r="F9">
        <v>11</v>
      </c>
      <c r="G9">
        <v>0</v>
      </c>
      <c r="H9">
        <f t="shared" ref="H9:H72" si="0">IF(LEN(TRIM(C9))=0,0,LEN(TRIM(C9))-LEN(SUBSTITUTE(TRIM(C9)," ",""))+7)</f>
        <v>127</v>
      </c>
    </row>
    <row r="10" spans="1:8" ht="409.5" x14ac:dyDescent="0.25">
      <c r="A10">
        <v>9</v>
      </c>
      <c r="B10" t="s">
        <v>10</v>
      </c>
      <c r="C10" s="1" t="s">
        <v>1232</v>
      </c>
      <c r="D10">
        <v>3</v>
      </c>
      <c r="E10">
        <v>3</v>
      </c>
      <c r="F10">
        <v>14</v>
      </c>
      <c r="G10">
        <v>0</v>
      </c>
      <c r="H10">
        <f t="shared" si="0"/>
        <v>139</v>
      </c>
    </row>
    <row r="11" spans="1:8" ht="409.5" x14ac:dyDescent="0.25">
      <c r="A11">
        <v>10</v>
      </c>
      <c r="B11" t="s">
        <v>10</v>
      </c>
      <c r="C11" s="1" t="s">
        <v>1233</v>
      </c>
      <c r="D11">
        <v>1</v>
      </c>
      <c r="E11">
        <v>5</v>
      </c>
      <c r="F11">
        <v>13</v>
      </c>
      <c r="G11">
        <v>0</v>
      </c>
      <c r="H11">
        <f t="shared" si="0"/>
        <v>133</v>
      </c>
    </row>
    <row r="12" spans="1:8" ht="409.5" x14ac:dyDescent="0.25">
      <c r="A12">
        <v>11</v>
      </c>
      <c r="B12" t="s">
        <v>10</v>
      </c>
      <c r="C12" s="1" t="s">
        <v>649</v>
      </c>
      <c r="D12">
        <v>2</v>
      </c>
      <c r="E12">
        <v>3</v>
      </c>
      <c r="F12">
        <v>15</v>
      </c>
      <c r="G12">
        <v>0</v>
      </c>
      <c r="H12">
        <f t="shared" si="0"/>
        <v>149</v>
      </c>
    </row>
    <row r="13" spans="1:8" ht="409.5" x14ac:dyDescent="0.25">
      <c r="A13">
        <v>12</v>
      </c>
      <c r="B13" t="s">
        <v>10</v>
      </c>
      <c r="C13" s="1" t="s">
        <v>1234</v>
      </c>
      <c r="D13">
        <v>2</v>
      </c>
      <c r="E13">
        <v>3</v>
      </c>
      <c r="F13">
        <v>14</v>
      </c>
      <c r="G13">
        <v>0</v>
      </c>
      <c r="H13">
        <f t="shared" si="0"/>
        <v>149</v>
      </c>
    </row>
    <row r="14" spans="1:8" ht="409.5" x14ac:dyDescent="0.25">
      <c r="A14">
        <v>13</v>
      </c>
      <c r="B14" t="s">
        <v>10</v>
      </c>
      <c r="C14" s="1" t="s">
        <v>1235</v>
      </c>
      <c r="D14">
        <v>1</v>
      </c>
      <c r="E14">
        <v>4</v>
      </c>
      <c r="F14">
        <v>13</v>
      </c>
      <c r="G14">
        <v>0</v>
      </c>
      <c r="H14">
        <f t="shared" si="0"/>
        <v>133</v>
      </c>
    </row>
    <row r="15" spans="1:8" ht="409.5" x14ac:dyDescent="0.25">
      <c r="A15">
        <v>14</v>
      </c>
      <c r="B15" t="s">
        <v>10</v>
      </c>
      <c r="C15" s="1" t="s">
        <v>1236</v>
      </c>
      <c r="D15">
        <v>2</v>
      </c>
      <c r="E15">
        <v>4</v>
      </c>
      <c r="F15">
        <v>12</v>
      </c>
      <c r="G15">
        <v>0</v>
      </c>
      <c r="H15">
        <f t="shared" si="0"/>
        <v>132</v>
      </c>
    </row>
    <row r="16" spans="1:8" ht="409.5" x14ac:dyDescent="0.25">
      <c r="A16">
        <v>15</v>
      </c>
      <c r="B16" t="s">
        <v>10</v>
      </c>
      <c r="C16" s="1" t="s">
        <v>650</v>
      </c>
      <c r="D16">
        <v>1</v>
      </c>
      <c r="E16">
        <v>2</v>
      </c>
      <c r="F16">
        <v>13</v>
      </c>
      <c r="G16">
        <v>0</v>
      </c>
      <c r="H16">
        <f t="shared" si="0"/>
        <v>140</v>
      </c>
    </row>
    <row r="17" spans="1:8" ht="409.5" x14ac:dyDescent="0.25">
      <c r="A17">
        <v>16</v>
      </c>
      <c r="B17" t="s">
        <v>10</v>
      </c>
      <c r="C17" s="1" t="s">
        <v>1237</v>
      </c>
      <c r="D17">
        <v>2</v>
      </c>
      <c r="E17">
        <v>3</v>
      </c>
      <c r="F17">
        <v>15</v>
      </c>
      <c r="G17">
        <v>0</v>
      </c>
      <c r="H17">
        <f t="shared" si="0"/>
        <v>141</v>
      </c>
    </row>
    <row r="18" spans="1:8" ht="409.5" x14ac:dyDescent="0.25">
      <c r="A18">
        <v>17</v>
      </c>
      <c r="B18" t="s">
        <v>10</v>
      </c>
      <c r="C18" s="1" t="s">
        <v>1238</v>
      </c>
      <c r="D18">
        <v>1</v>
      </c>
      <c r="E18">
        <v>3</v>
      </c>
      <c r="F18">
        <v>13</v>
      </c>
      <c r="G18">
        <v>0</v>
      </c>
      <c r="H18">
        <f t="shared" si="0"/>
        <v>136</v>
      </c>
    </row>
    <row r="19" spans="1:8" ht="409.5" x14ac:dyDescent="0.25">
      <c r="A19">
        <v>18</v>
      </c>
      <c r="B19" t="s">
        <v>10</v>
      </c>
      <c r="C19" s="1" t="s">
        <v>651</v>
      </c>
      <c r="D19">
        <v>2</v>
      </c>
      <c r="E19">
        <v>4</v>
      </c>
      <c r="F19">
        <v>16</v>
      </c>
      <c r="G19">
        <v>0</v>
      </c>
      <c r="H19">
        <f t="shared" si="0"/>
        <v>154</v>
      </c>
    </row>
    <row r="20" spans="1:8" ht="409.5" x14ac:dyDescent="0.25">
      <c r="A20">
        <v>19</v>
      </c>
      <c r="B20" t="s">
        <v>10</v>
      </c>
      <c r="C20" s="1" t="s">
        <v>1239</v>
      </c>
      <c r="D20">
        <v>2</v>
      </c>
      <c r="E20">
        <v>3</v>
      </c>
      <c r="F20">
        <v>11</v>
      </c>
      <c r="G20">
        <v>0</v>
      </c>
      <c r="H20">
        <f t="shared" si="0"/>
        <v>148</v>
      </c>
    </row>
    <row r="21" spans="1:8" ht="409.5" x14ac:dyDescent="0.25">
      <c r="A21">
        <v>20</v>
      </c>
      <c r="B21" t="s">
        <v>10</v>
      </c>
      <c r="C21" s="1" t="s">
        <v>1240</v>
      </c>
      <c r="D21">
        <v>3</v>
      </c>
      <c r="E21">
        <v>2</v>
      </c>
      <c r="F21">
        <v>15</v>
      </c>
      <c r="G21">
        <v>0</v>
      </c>
      <c r="H21">
        <f t="shared" si="0"/>
        <v>136</v>
      </c>
    </row>
    <row r="22" spans="1:8" ht="409.5" x14ac:dyDescent="0.25">
      <c r="A22">
        <v>21</v>
      </c>
      <c r="B22" t="s">
        <v>10</v>
      </c>
      <c r="C22" s="1" t="s">
        <v>1241</v>
      </c>
      <c r="D22">
        <v>2</v>
      </c>
      <c r="E22">
        <v>2</v>
      </c>
      <c r="F22">
        <v>18</v>
      </c>
      <c r="G22">
        <v>0</v>
      </c>
      <c r="H22">
        <f t="shared" si="0"/>
        <v>142</v>
      </c>
    </row>
    <row r="23" spans="1:8" ht="409.5" x14ac:dyDescent="0.25">
      <c r="A23">
        <v>22</v>
      </c>
      <c r="B23" t="s">
        <v>10</v>
      </c>
      <c r="C23" s="1" t="s">
        <v>652</v>
      </c>
      <c r="D23">
        <v>4</v>
      </c>
      <c r="E23">
        <v>2</v>
      </c>
      <c r="F23">
        <v>12</v>
      </c>
      <c r="G23">
        <v>0</v>
      </c>
      <c r="H23">
        <f t="shared" si="0"/>
        <v>171</v>
      </c>
    </row>
    <row r="24" spans="1:8" ht="409.5" x14ac:dyDescent="0.25">
      <c r="A24">
        <v>23</v>
      </c>
      <c r="B24" t="s">
        <v>10</v>
      </c>
      <c r="C24" s="1" t="s">
        <v>1242</v>
      </c>
      <c r="D24">
        <v>2</v>
      </c>
      <c r="E24">
        <v>3</v>
      </c>
      <c r="F24">
        <v>12</v>
      </c>
      <c r="G24">
        <v>0</v>
      </c>
      <c r="H24">
        <f t="shared" si="0"/>
        <v>122</v>
      </c>
    </row>
    <row r="25" spans="1:8" ht="409.5" x14ac:dyDescent="0.25">
      <c r="A25">
        <v>24</v>
      </c>
      <c r="B25" t="s">
        <v>10</v>
      </c>
      <c r="C25" s="1" t="s">
        <v>1243</v>
      </c>
      <c r="D25">
        <v>2</v>
      </c>
      <c r="E25">
        <v>4</v>
      </c>
      <c r="F25">
        <v>16</v>
      </c>
      <c r="G25">
        <v>0</v>
      </c>
      <c r="H25">
        <f t="shared" si="0"/>
        <v>135</v>
      </c>
    </row>
    <row r="26" spans="1:8" ht="409.5" x14ac:dyDescent="0.25">
      <c r="A26">
        <v>25</v>
      </c>
      <c r="B26" t="s">
        <v>10</v>
      </c>
      <c r="C26" s="1" t="s">
        <v>1244</v>
      </c>
      <c r="D26">
        <v>1</v>
      </c>
      <c r="E26">
        <v>5</v>
      </c>
      <c r="F26">
        <v>13</v>
      </c>
      <c r="G26">
        <v>0</v>
      </c>
      <c r="H26">
        <f t="shared" si="0"/>
        <v>137</v>
      </c>
    </row>
    <row r="27" spans="1:8" ht="409.5" x14ac:dyDescent="0.25">
      <c r="A27">
        <v>26</v>
      </c>
      <c r="B27" t="s">
        <v>10</v>
      </c>
      <c r="C27" s="1" t="s">
        <v>1245</v>
      </c>
      <c r="D27">
        <v>1</v>
      </c>
      <c r="E27">
        <v>3</v>
      </c>
      <c r="F27">
        <v>16</v>
      </c>
      <c r="G27">
        <v>0</v>
      </c>
      <c r="H27">
        <f t="shared" si="0"/>
        <v>142</v>
      </c>
    </row>
    <row r="28" spans="1:8" ht="409.5" x14ac:dyDescent="0.25">
      <c r="A28">
        <v>27</v>
      </c>
      <c r="B28" t="s">
        <v>10</v>
      </c>
      <c r="C28" s="1" t="s">
        <v>653</v>
      </c>
      <c r="D28">
        <v>2</v>
      </c>
      <c r="E28">
        <v>4</v>
      </c>
      <c r="F28">
        <v>12</v>
      </c>
      <c r="G28">
        <v>0</v>
      </c>
      <c r="H28">
        <f t="shared" si="0"/>
        <v>139</v>
      </c>
    </row>
    <row r="29" spans="1:8" ht="409.5" x14ac:dyDescent="0.25">
      <c r="A29">
        <v>28</v>
      </c>
      <c r="B29" t="s">
        <v>10</v>
      </c>
      <c r="C29" s="1" t="s">
        <v>654</v>
      </c>
      <c r="D29">
        <v>3</v>
      </c>
      <c r="E29">
        <v>3</v>
      </c>
      <c r="F29">
        <v>12</v>
      </c>
      <c r="G29">
        <v>0</v>
      </c>
      <c r="H29">
        <f t="shared" si="0"/>
        <v>138</v>
      </c>
    </row>
    <row r="30" spans="1:8" ht="409.5" x14ac:dyDescent="0.25">
      <c r="A30">
        <v>29</v>
      </c>
      <c r="B30" t="s">
        <v>10</v>
      </c>
      <c r="C30" s="1" t="s">
        <v>1246</v>
      </c>
      <c r="D30">
        <v>1</v>
      </c>
      <c r="E30">
        <v>2</v>
      </c>
      <c r="F30">
        <v>16</v>
      </c>
      <c r="G30">
        <v>0</v>
      </c>
      <c r="H30">
        <f t="shared" si="0"/>
        <v>132</v>
      </c>
    </row>
    <row r="31" spans="1:8" ht="409.5" x14ac:dyDescent="0.25">
      <c r="A31">
        <v>30</v>
      </c>
      <c r="B31" t="s">
        <v>10</v>
      </c>
      <c r="C31" s="1" t="s">
        <v>1247</v>
      </c>
      <c r="D31">
        <v>3</v>
      </c>
      <c r="E31">
        <v>3</v>
      </c>
      <c r="F31">
        <v>14</v>
      </c>
      <c r="G31">
        <v>0</v>
      </c>
      <c r="H31">
        <f t="shared" si="0"/>
        <v>137</v>
      </c>
    </row>
    <row r="32" spans="1:8" ht="409.5" x14ac:dyDescent="0.25">
      <c r="A32">
        <v>31</v>
      </c>
      <c r="B32" t="s">
        <v>10</v>
      </c>
      <c r="C32" s="1" t="s">
        <v>1248</v>
      </c>
      <c r="D32">
        <v>1</v>
      </c>
      <c r="E32">
        <v>4</v>
      </c>
      <c r="F32">
        <v>17</v>
      </c>
      <c r="G32">
        <v>0</v>
      </c>
      <c r="H32">
        <f t="shared" si="0"/>
        <v>133</v>
      </c>
    </row>
    <row r="33" spans="1:8" ht="409.5" x14ac:dyDescent="0.25">
      <c r="A33">
        <v>32</v>
      </c>
      <c r="B33" t="s">
        <v>10</v>
      </c>
      <c r="C33" s="1" t="s">
        <v>1249</v>
      </c>
      <c r="D33">
        <v>2</v>
      </c>
      <c r="E33">
        <v>1</v>
      </c>
      <c r="F33">
        <v>12</v>
      </c>
      <c r="G33">
        <v>0</v>
      </c>
      <c r="H33">
        <f t="shared" si="0"/>
        <v>126</v>
      </c>
    </row>
    <row r="34" spans="1:8" ht="409.5" x14ac:dyDescent="0.25">
      <c r="A34">
        <v>33</v>
      </c>
      <c r="B34" t="s">
        <v>10</v>
      </c>
      <c r="C34" s="1" t="s">
        <v>1250</v>
      </c>
      <c r="D34">
        <v>1</v>
      </c>
      <c r="E34">
        <v>4</v>
      </c>
      <c r="F34">
        <v>15</v>
      </c>
      <c r="G34">
        <v>0</v>
      </c>
      <c r="H34">
        <f t="shared" si="0"/>
        <v>144</v>
      </c>
    </row>
    <row r="35" spans="1:8" ht="409.5" x14ac:dyDescent="0.25">
      <c r="A35">
        <v>34</v>
      </c>
      <c r="B35" t="s">
        <v>10</v>
      </c>
      <c r="C35" s="1" t="s">
        <v>1251</v>
      </c>
      <c r="D35">
        <v>2</v>
      </c>
      <c r="E35">
        <v>2</v>
      </c>
      <c r="F35">
        <v>13</v>
      </c>
      <c r="G35">
        <v>0</v>
      </c>
      <c r="H35">
        <f t="shared" si="0"/>
        <v>126</v>
      </c>
    </row>
    <row r="36" spans="1:8" ht="409.5" x14ac:dyDescent="0.25">
      <c r="A36">
        <v>35</v>
      </c>
      <c r="B36" t="s">
        <v>69</v>
      </c>
      <c r="C36" s="1" t="s">
        <v>1252</v>
      </c>
      <c r="D36">
        <v>2</v>
      </c>
      <c r="E36">
        <v>0</v>
      </c>
      <c r="F36">
        <v>17</v>
      </c>
      <c r="G36">
        <v>0</v>
      </c>
      <c r="H36">
        <f t="shared" si="0"/>
        <v>134</v>
      </c>
    </row>
    <row r="37" spans="1:8" ht="409.5" x14ac:dyDescent="0.25">
      <c r="A37">
        <v>36</v>
      </c>
      <c r="B37" t="s">
        <v>69</v>
      </c>
      <c r="C37" s="1" t="s">
        <v>655</v>
      </c>
      <c r="D37">
        <v>3</v>
      </c>
      <c r="E37">
        <v>0</v>
      </c>
      <c r="F37">
        <v>13</v>
      </c>
      <c r="G37">
        <v>0</v>
      </c>
      <c r="H37">
        <f t="shared" si="0"/>
        <v>137</v>
      </c>
    </row>
    <row r="38" spans="1:8" ht="409.5" x14ac:dyDescent="0.25">
      <c r="A38">
        <v>37</v>
      </c>
      <c r="B38" t="s">
        <v>69</v>
      </c>
      <c r="C38" s="1" t="s">
        <v>1253</v>
      </c>
      <c r="D38">
        <v>3</v>
      </c>
      <c r="E38">
        <v>0</v>
      </c>
      <c r="F38">
        <v>16</v>
      </c>
      <c r="G38">
        <v>0</v>
      </c>
      <c r="H38">
        <f t="shared" si="0"/>
        <v>138</v>
      </c>
    </row>
    <row r="39" spans="1:8" ht="409.5" x14ac:dyDescent="0.25">
      <c r="A39">
        <v>38</v>
      </c>
      <c r="B39" t="s">
        <v>69</v>
      </c>
      <c r="C39" s="1" t="s">
        <v>1254</v>
      </c>
      <c r="D39">
        <v>2</v>
      </c>
      <c r="E39">
        <v>0</v>
      </c>
      <c r="F39">
        <v>18</v>
      </c>
      <c r="G39">
        <v>0</v>
      </c>
      <c r="H39">
        <f t="shared" si="0"/>
        <v>147</v>
      </c>
    </row>
    <row r="40" spans="1:8" ht="409.5" x14ac:dyDescent="0.25">
      <c r="A40">
        <v>39</v>
      </c>
      <c r="B40" t="s">
        <v>69</v>
      </c>
      <c r="C40" s="1" t="s">
        <v>1228</v>
      </c>
      <c r="D40">
        <v>3</v>
      </c>
      <c r="E40">
        <v>1</v>
      </c>
      <c r="F40">
        <v>15</v>
      </c>
      <c r="G40">
        <v>0</v>
      </c>
      <c r="H40">
        <f t="shared" si="0"/>
        <v>145</v>
      </c>
    </row>
    <row r="41" spans="1:8" ht="409.5" x14ac:dyDescent="0.25">
      <c r="A41">
        <v>40</v>
      </c>
      <c r="B41" t="s">
        <v>69</v>
      </c>
      <c r="C41" s="1" t="s">
        <v>1255</v>
      </c>
      <c r="D41">
        <v>2</v>
      </c>
      <c r="E41">
        <v>0</v>
      </c>
      <c r="F41">
        <v>18</v>
      </c>
      <c r="G41">
        <v>0</v>
      </c>
      <c r="H41">
        <f t="shared" si="0"/>
        <v>137</v>
      </c>
    </row>
    <row r="42" spans="1:8" ht="409.5" x14ac:dyDescent="0.25">
      <c r="A42">
        <v>41</v>
      </c>
      <c r="B42" t="s">
        <v>69</v>
      </c>
      <c r="C42" s="1" t="s">
        <v>656</v>
      </c>
      <c r="D42">
        <v>4</v>
      </c>
      <c r="E42">
        <v>0</v>
      </c>
      <c r="F42">
        <v>17</v>
      </c>
      <c r="G42">
        <v>0</v>
      </c>
      <c r="H42">
        <f t="shared" si="0"/>
        <v>153</v>
      </c>
    </row>
    <row r="43" spans="1:8" ht="409.5" x14ac:dyDescent="0.25">
      <c r="A43">
        <v>42</v>
      </c>
      <c r="B43" t="s">
        <v>69</v>
      </c>
      <c r="C43" s="1" t="s">
        <v>1256</v>
      </c>
      <c r="D43">
        <v>2</v>
      </c>
      <c r="E43">
        <v>0</v>
      </c>
      <c r="F43">
        <v>16</v>
      </c>
      <c r="G43">
        <v>0</v>
      </c>
      <c r="H43">
        <f t="shared" si="0"/>
        <v>142</v>
      </c>
    </row>
    <row r="44" spans="1:8" ht="409.5" x14ac:dyDescent="0.25">
      <c r="A44">
        <v>43</v>
      </c>
      <c r="B44" t="s">
        <v>69</v>
      </c>
      <c r="C44" s="1" t="s">
        <v>1257</v>
      </c>
      <c r="D44">
        <v>2</v>
      </c>
      <c r="E44">
        <v>1</v>
      </c>
      <c r="F44">
        <v>16</v>
      </c>
      <c r="G44">
        <v>0</v>
      </c>
      <c r="H44">
        <f t="shared" si="0"/>
        <v>146</v>
      </c>
    </row>
    <row r="45" spans="1:8" ht="409.5" x14ac:dyDescent="0.25">
      <c r="A45">
        <v>44</v>
      </c>
      <c r="B45" t="s">
        <v>69</v>
      </c>
      <c r="C45" s="1" t="s">
        <v>1258</v>
      </c>
      <c r="D45">
        <v>2</v>
      </c>
      <c r="E45">
        <v>0</v>
      </c>
      <c r="F45">
        <v>16</v>
      </c>
      <c r="G45">
        <v>0</v>
      </c>
      <c r="H45">
        <f t="shared" si="0"/>
        <v>121</v>
      </c>
    </row>
    <row r="46" spans="1:8" ht="409.5" x14ac:dyDescent="0.25">
      <c r="A46">
        <v>45</v>
      </c>
      <c r="B46" t="s">
        <v>69</v>
      </c>
      <c r="C46" s="1" t="s">
        <v>1259</v>
      </c>
      <c r="D46">
        <v>1</v>
      </c>
      <c r="E46">
        <v>0</v>
      </c>
      <c r="F46">
        <v>15</v>
      </c>
      <c r="G46">
        <v>0</v>
      </c>
      <c r="H46">
        <f t="shared" si="0"/>
        <v>143</v>
      </c>
    </row>
    <row r="47" spans="1:8" ht="409.5" x14ac:dyDescent="0.25">
      <c r="A47">
        <v>46</v>
      </c>
      <c r="B47" t="s">
        <v>69</v>
      </c>
      <c r="C47" s="1" t="s">
        <v>657</v>
      </c>
      <c r="D47">
        <v>2</v>
      </c>
      <c r="E47">
        <v>0</v>
      </c>
      <c r="F47">
        <v>14</v>
      </c>
      <c r="G47">
        <v>0</v>
      </c>
      <c r="H47">
        <f t="shared" si="0"/>
        <v>146</v>
      </c>
    </row>
    <row r="48" spans="1:8" ht="409.5" x14ac:dyDescent="0.25">
      <c r="A48">
        <v>47</v>
      </c>
      <c r="B48" t="s">
        <v>69</v>
      </c>
      <c r="C48" s="1" t="s">
        <v>1260</v>
      </c>
      <c r="D48">
        <v>3</v>
      </c>
      <c r="E48">
        <v>0</v>
      </c>
      <c r="F48">
        <v>18</v>
      </c>
      <c r="G48">
        <v>0</v>
      </c>
      <c r="H48">
        <f t="shared" si="0"/>
        <v>141</v>
      </c>
    </row>
    <row r="49" spans="1:8" ht="409.5" x14ac:dyDescent="0.25">
      <c r="A49">
        <v>48</v>
      </c>
      <c r="B49" t="s">
        <v>69</v>
      </c>
      <c r="C49" s="1" t="s">
        <v>1261</v>
      </c>
      <c r="D49">
        <v>4</v>
      </c>
      <c r="E49">
        <v>0</v>
      </c>
      <c r="F49">
        <v>18</v>
      </c>
      <c r="G49">
        <v>0</v>
      </c>
      <c r="H49">
        <f t="shared" si="0"/>
        <v>149</v>
      </c>
    </row>
    <row r="50" spans="1:8" ht="409.5" x14ac:dyDescent="0.25">
      <c r="A50">
        <v>49</v>
      </c>
      <c r="B50" t="s">
        <v>69</v>
      </c>
      <c r="C50" s="1" t="s">
        <v>1262</v>
      </c>
      <c r="D50">
        <v>2</v>
      </c>
      <c r="E50">
        <v>0</v>
      </c>
      <c r="F50">
        <v>17</v>
      </c>
      <c r="G50">
        <v>0</v>
      </c>
      <c r="H50">
        <f t="shared" si="0"/>
        <v>134</v>
      </c>
    </row>
    <row r="51" spans="1:8" ht="409.5" x14ac:dyDescent="0.25">
      <c r="A51">
        <v>50</v>
      </c>
      <c r="B51" t="s">
        <v>69</v>
      </c>
      <c r="C51" s="1" t="s">
        <v>1263</v>
      </c>
      <c r="D51">
        <v>4</v>
      </c>
      <c r="E51">
        <v>1</v>
      </c>
      <c r="F51">
        <v>17</v>
      </c>
      <c r="G51">
        <v>0</v>
      </c>
      <c r="H51">
        <f t="shared" si="0"/>
        <v>154</v>
      </c>
    </row>
    <row r="52" spans="1:8" ht="409.5" x14ac:dyDescent="0.25">
      <c r="A52">
        <v>51</v>
      </c>
      <c r="B52" t="s">
        <v>69</v>
      </c>
      <c r="C52" s="1" t="s">
        <v>1264</v>
      </c>
      <c r="D52">
        <v>3</v>
      </c>
      <c r="E52">
        <v>0</v>
      </c>
      <c r="F52">
        <v>18</v>
      </c>
      <c r="G52">
        <v>0</v>
      </c>
      <c r="H52">
        <f t="shared" si="0"/>
        <v>127</v>
      </c>
    </row>
    <row r="53" spans="1:8" ht="409.5" x14ac:dyDescent="0.25">
      <c r="A53">
        <v>52</v>
      </c>
      <c r="B53" t="s">
        <v>69</v>
      </c>
      <c r="C53" s="1" t="s">
        <v>1265</v>
      </c>
      <c r="D53">
        <v>1</v>
      </c>
      <c r="E53">
        <v>0</v>
      </c>
      <c r="F53">
        <v>19</v>
      </c>
      <c r="G53">
        <v>0</v>
      </c>
      <c r="H53">
        <f t="shared" si="0"/>
        <v>154</v>
      </c>
    </row>
    <row r="54" spans="1:8" ht="409.5" x14ac:dyDescent="0.25">
      <c r="A54">
        <v>53</v>
      </c>
      <c r="B54" t="s">
        <v>69</v>
      </c>
      <c r="C54" s="1" t="s">
        <v>658</v>
      </c>
      <c r="D54">
        <v>3</v>
      </c>
      <c r="E54">
        <v>0</v>
      </c>
      <c r="F54">
        <v>17</v>
      </c>
      <c r="G54">
        <v>0</v>
      </c>
      <c r="H54">
        <f t="shared" si="0"/>
        <v>144</v>
      </c>
    </row>
    <row r="55" spans="1:8" ht="409.5" x14ac:dyDescent="0.25">
      <c r="A55">
        <v>54</v>
      </c>
      <c r="B55" t="s">
        <v>69</v>
      </c>
      <c r="C55" s="1" t="s">
        <v>1229</v>
      </c>
      <c r="D55">
        <v>2</v>
      </c>
      <c r="E55">
        <v>0</v>
      </c>
      <c r="F55">
        <v>17</v>
      </c>
      <c r="G55">
        <v>0</v>
      </c>
      <c r="H55">
        <f t="shared" si="0"/>
        <v>137</v>
      </c>
    </row>
    <row r="56" spans="1:8" ht="409.5" x14ac:dyDescent="0.25">
      <c r="A56">
        <v>55</v>
      </c>
      <c r="B56" t="s">
        <v>69</v>
      </c>
      <c r="C56" s="1" t="s">
        <v>1266</v>
      </c>
      <c r="D56">
        <v>2</v>
      </c>
      <c r="E56">
        <v>0</v>
      </c>
      <c r="F56">
        <v>16</v>
      </c>
      <c r="G56">
        <v>0</v>
      </c>
      <c r="H56">
        <f t="shared" si="0"/>
        <v>133</v>
      </c>
    </row>
    <row r="57" spans="1:8" ht="409.5" x14ac:dyDescent="0.25">
      <c r="A57">
        <v>56</v>
      </c>
      <c r="B57" t="s">
        <v>69</v>
      </c>
      <c r="C57" s="1" t="s">
        <v>659</v>
      </c>
      <c r="D57">
        <v>2</v>
      </c>
      <c r="E57">
        <v>0</v>
      </c>
      <c r="F57">
        <v>13</v>
      </c>
      <c r="G57">
        <v>0</v>
      </c>
      <c r="H57">
        <f t="shared" si="0"/>
        <v>138</v>
      </c>
    </row>
    <row r="58" spans="1:8" ht="409.5" x14ac:dyDescent="0.25">
      <c r="A58">
        <v>57</v>
      </c>
      <c r="B58" t="s">
        <v>69</v>
      </c>
      <c r="C58" s="1" t="s">
        <v>1267</v>
      </c>
      <c r="D58">
        <v>2</v>
      </c>
      <c r="E58">
        <v>0</v>
      </c>
      <c r="F58">
        <v>18</v>
      </c>
      <c r="G58">
        <v>0</v>
      </c>
      <c r="H58">
        <f t="shared" si="0"/>
        <v>125</v>
      </c>
    </row>
    <row r="59" spans="1:8" ht="409.5" x14ac:dyDescent="0.25">
      <c r="A59">
        <v>58</v>
      </c>
      <c r="B59" t="s">
        <v>69</v>
      </c>
      <c r="C59" s="1" t="s">
        <v>1268</v>
      </c>
      <c r="D59">
        <v>2</v>
      </c>
      <c r="E59">
        <v>0</v>
      </c>
      <c r="F59">
        <v>18</v>
      </c>
      <c r="G59">
        <v>0</v>
      </c>
      <c r="H59">
        <f t="shared" si="0"/>
        <v>143</v>
      </c>
    </row>
    <row r="60" spans="1:8" ht="409.5" x14ac:dyDescent="0.25">
      <c r="A60">
        <v>59</v>
      </c>
      <c r="B60" t="s">
        <v>69</v>
      </c>
      <c r="C60" s="1" t="s">
        <v>660</v>
      </c>
      <c r="D60">
        <v>3</v>
      </c>
      <c r="E60">
        <v>0</v>
      </c>
      <c r="F60">
        <v>17</v>
      </c>
      <c r="G60">
        <v>0</v>
      </c>
      <c r="H60">
        <f t="shared" si="0"/>
        <v>141</v>
      </c>
    </row>
    <row r="61" spans="1:8" ht="409.5" x14ac:dyDescent="0.25">
      <c r="A61">
        <v>60</v>
      </c>
      <c r="B61" t="s">
        <v>69</v>
      </c>
      <c r="C61" s="1" t="s">
        <v>661</v>
      </c>
      <c r="D61">
        <v>2</v>
      </c>
      <c r="E61">
        <v>1</v>
      </c>
      <c r="F61">
        <v>17</v>
      </c>
      <c r="G61">
        <v>0</v>
      </c>
      <c r="H61">
        <f t="shared" si="0"/>
        <v>146</v>
      </c>
    </row>
    <row r="62" spans="1:8" ht="409.5" x14ac:dyDescent="0.25">
      <c r="A62">
        <v>61</v>
      </c>
      <c r="B62" t="s">
        <v>69</v>
      </c>
      <c r="C62" s="1" t="s">
        <v>1269</v>
      </c>
      <c r="D62">
        <v>1</v>
      </c>
      <c r="E62">
        <v>0</v>
      </c>
      <c r="F62">
        <v>15</v>
      </c>
      <c r="G62">
        <v>0</v>
      </c>
      <c r="H62">
        <f t="shared" si="0"/>
        <v>138</v>
      </c>
    </row>
    <row r="63" spans="1:8" ht="409.5" x14ac:dyDescent="0.25">
      <c r="A63">
        <v>62</v>
      </c>
      <c r="B63" t="s">
        <v>69</v>
      </c>
      <c r="C63" s="1" t="s">
        <v>1270</v>
      </c>
      <c r="D63">
        <v>1</v>
      </c>
      <c r="E63">
        <v>0</v>
      </c>
      <c r="F63">
        <v>17</v>
      </c>
      <c r="G63">
        <v>0</v>
      </c>
      <c r="H63">
        <f t="shared" si="0"/>
        <v>154</v>
      </c>
    </row>
    <row r="64" spans="1:8" ht="409.5" x14ac:dyDescent="0.25">
      <c r="A64">
        <v>63</v>
      </c>
      <c r="B64" t="s">
        <v>126</v>
      </c>
      <c r="C64" s="1" t="s">
        <v>1273</v>
      </c>
      <c r="D64">
        <v>1</v>
      </c>
      <c r="E64">
        <v>0</v>
      </c>
      <c r="F64">
        <v>20</v>
      </c>
      <c r="G64">
        <v>0</v>
      </c>
      <c r="H64">
        <f t="shared" si="0"/>
        <v>154</v>
      </c>
    </row>
    <row r="65" spans="1:8" ht="409.5" x14ac:dyDescent="0.25">
      <c r="A65">
        <v>64</v>
      </c>
      <c r="B65" t="s">
        <v>126</v>
      </c>
      <c r="C65" s="1" t="s">
        <v>662</v>
      </c>
      <c r="D65">
        <v>1</v>
      </c>
      <c r="E65">
        <v>0</v>
      </c>
      <c r="F65">
        <v>17</v>
      </c>
      <c r="G65">
        <v>0</v>
      </c>
      <c r="H65">
        <f t="shared" si="0"/>
        <v>153</v>
      </c>
    </row>
    <row r="66" spans="1:8" ht="409.5" x14ac:dyDescent="0.25">
      <c r="A66">
        <v>65</v>
      </c>
      <c r="B66" t="s">
        <v>126</v>
      </c>
      <c r="C66" s="1" t="s">
        <v>1274</v>
      </c>
      <c r="D66">
        <v>4</v>
      </c>
      <c r="E66">
        <v>0</v>
      </c>
      <c r="F66">
        <v>22</v>
      </c>
      <c r="G66">
        <v>0</v>
      </c>
      <c r="H66">
        <f t="shared" si="0"/>
        <v>149</v>
      </c>
    </row>
    <row r="67" spans="1:8" ht="409.5" x14ac:dyDescent="0.25">
      <c r="A67">
        <v>66</v>
      </c>
      <c r="B67" t="s">
        <v>126</v>
      </c>
      <c r="C67" s="1" t="s">
        <v>663</v>
      </c>
      <c r="D67">
        <v>2</v>
      </c>
      <c r="E67">
        <v>0</v>
      </c>
      <c r="F67">
        <v>25</v>
      </c>
      <c r="G67">
        <v>0</v>
      </c>
      <c r="H67">
        <f t="shared" si="0"/>
        <v>156</v>
      </c>
    </row>
    <row r="68" spans="1:8" ht="409.5" x14ac:dyDescent="0.25">
      <c r="A68">
        <v>67</v>
      </c>
      <c r="B68" t="s">
        <v>126</v>
      </c>
      <c r="C68" s="1" t="s">
        <v>664</v>
      </c>
      <c r="D68">
        <v>4</v>
      </c>
      <c r="E68">
        <v>0</v>
      </c>
      <c r="F68">
        <v>22</v>
      </c>
      <c r="G68">
        <v>0</v>
      </c>
      <c r="H68">
        <f t="shared" si="0"/>
        <v>143</v>
      </c>
    </row>
    <row r="69" spans="1:8" ht="409.5" x14ac:dyDescent="0.25">
      <c r="A69">
        <v>68</v>
      </c>
      <c r="B69" t="s">
        <v>126</v>
      </c>
      <c r="C69" s="1" t="s">
        <v>1275</v>
      </c>
      <c r="D69">
        <v>3</v>
      </c>
      <c r="E69">
        <v>0</v>
      </c>
      <c r="F69">
        <v>21</v>
      </c>
      <c r="G69">
        <v>0</v>
      </c>
      <c r="H69">
        <f t="shared" si="0"/>
        <v>148</v>
      </c>
    </row>
    <row r="70" spans="1:8" ht="409.5" x14ac:dyDescent="0.25">
      <c r="A70">
        <v>69</v>
      </c>
      <c r="B70" t="s">
        <v>126</v>
      </c>
      <c r="C70" s="1" t="s">
        <v>1276</v>
      </c>
      <c r="D70">
        <v>3</v>
      </c>
      <c r="E70">
        <v>0</v>
      </c>
      <c r="F70">
        <v>21</v>
      </c>
      <c r="G70">
        <v>0</v>
      </c>
      <c r="H70">
        <f t="shared" si="0"/>
        <v>143</v>
      </c>
    </row>
    <row r="71" spans="1:8" ht="409.5" x14ac:dyDescent="0.25">
      <c r="A71">
        <v>70</v>
      </c>
      <c r="B71" t="s">
        <v>126</v>
      </c>
      <c r="C71" s="1" t="s">
        <v>665</v>
      </c>
      <c r="D71">
        <v>2</v>
      </c>
      <c r="E71">
        <v>0</v>
      </c>
      <c r="F71">
        <v>22</v>
      </c>
      <c r="G71">
        <v>0</v>
      </c>
      <c r="H71">
        <f t="shared" si="0"/>
        <v>161</v>
      </c>
    </row>
    <row r="72" spans="1:8" ht="409.5" x14ac:dyDescent="0.25">
      <c r="A72">
        <v>71</v>
      </c>
      <c r="B72" t="s">
        <v>126</v>
      </c>
      <c r="C72" s="1" t="s">
        <v>1277</v>
      </c>
      <c r="D72">
        <v>2</v>
      </c>
      <c r="E72">
        <v>0</v>
      </c>
      <c r="F72">
        <v>20</v>
      </c>
      <c r="G72">
        <v>0</v>
      </c>
      <c r="H72">
        <f t="shared" si="0"/>
        <v>155</v>
      </c>
    </row>
    <row r="73" spans="1:8" ht="409.5" x14ac:dyDescent="0.25">
      <c r="A73">
        <v>72</v>
      </c>
      <c r="B73" t="s">
        <v>126</v>
      </c>
      <c r="C73" s="1" t="s">
        <v>666</v>
      </c>
      <c r="D73">
        <v>1</v>
      </c>
      <c r="E73">
        <v>0</v>
      </c>
      <c r="F73">
        <v>18</v>
      </c>
      <c r="G73">
        <v>0</v>
      </c>
      <c r="H73">
        <f t="shared" ref="H73:H91" si="1">IF(LEN(TRIM(C73))=0,0,LEN(TRIM(C73))-LEN(SUBSTITUTE(TRIM(C73)," ",""))+7)</f>
        <v>153</v>
      </c>
    </row>
    <row r="74" spans="1:8" ht="409.5" x14ac:dyDescent="0.25">
      <c r="A74">
        <v>73</v>
      </c>
      <c r="B74" t="s">
        <v>126</v>
      </c>
      <c r="C74" s="1" t="s">
        <v>667</v>
      </c>
      <c r="D74">
        <v>2</v>
      </c>
      <c r="E74">
        <v>0</v>
      </c>
      <c r="F74">
        <v>17</v>
      </c>
      <c r="G74">
        <v>0</v>
      </c>
      <c r="H74">
        <f t="shared" si="1"/>
        <v>149</v>
      </c>
    </row>
    <row r="75" spans="1:8" ht="409.5" x14ac:dyDescent="0.25">
      <c r="A75">
        <v>74</v>
      </c>
      <c r="B75" t="s">
        <v>126</v>
      </c>
      <c r="C75" s="1" t="s">
        <v>668</v>
      </c>
      <c r="D75">
        <v>4</v>
      </c>
      <c r="E75">
        <v>1</v>
      </c>
      <c r="F75">
        <v>20</v>
      </c>
      <c r="G75">
        <v>0</v>
      </c>
      <c r="H75">
        <f t="shared" si="1"/>
        <v>162</v>
      </c>
    </row>
    <row r="76" spans="1:8" ht="409.5" x14ac:dyDescent="0.25">
      <c r="A76">
        <v>75</v>
      </c>
      <c r="B76" t="s">
        <v>126</v>
      </c>
      <c r="C76" s="1" t="s">
        <v>669</v>
      </c>
      <c r="D76">
        <v>2</v>
      </c>
      <c r="E76">
        <v>1</v>
      </c>
      <c r="F76">
        <v>21</v>
      </c>
      <c r="G76">
        <v>0</v>
      </c>
      <c r="H76">
        <f t="shared" si="1"/>
        <v>174</v>
      </c>
    </row>
    <row r="77" spans="1:8" ht="409.5" x14ac:dyDescent="0.25">
      <c r="A77">
        <v>76</v>
      </c>
      <c r="B77" t="s">
        <v>126</v>
      </c>
      <c r="C77" s="1" t="s">
        <v>670</v>
      </c>
      <c r="D77">
        <v>2</v>
      </c>
      <c r="E77">
        <v>0</v>
      </c>
      <c r="F77">
        <v>22</v>
      </c>
      <c r="G77">
        <v>0</v>
      </c>
      <c r="H77">
        <f t="shared" si="1"/>
        <v>162</v>
      </c>
    </row>
    <row r="78" spans="1:8" ht="409.5" x14ac:dyDescent="0.25">
      <c r="A78">
        <v>77</v>
      </c>
      <c r="B78" t="s">
        <v>126</v>
      </c>
      <c r="C78" s="1" t="s">
        <v>671</v>
      </c>
      <c r="D78">
        <v>3</v>
      </c>
      <c r="E78">
        <v>0</v>
      </c>
      <c r="F78">
        <v>17</v>
      </c>
      <c r="G78">
        <v>0</v>
      </c>
      <c r="H78">
        <f t="shared" si="1"/>
        <v>153</v>
      </c>
    </row>
    <row r="79" spans="1:8" ht="409.5" x14ac:dyDescent="0.25">
      <c r="A79">
        <v>78</v>
      </c>
      <c r="B79" t="s">
        <v>126</v>
      </c>
      <c r="C79" s="1" t="s">
        <v>1271</v>
      </c>
      <c r="D79">
        <v>3</v>
      </c>
      <c r="E79">
        <v>0</v>
      </c>
      <c r="F79">
        <v>19</v>
      </c>
      <c r="G79">
        <v>0</v>
      </c>
      <c r="H79">
        <f t="shared" si="1"/>
        <v>141</v>
      </c>
    </row>
    <row r="80" spans="1:8" ht="409.5" x14ac:dyDescent="0.25">
      <c r="A80">
        <v>79</v>
      </c>
      <c r="B80" t="s">
        <v>126</v>
      </c>
      <c r="C80" s="1" t="s">
        <v>1278</v>
      </c>
      <c r="D80">
        <v>2</v>
      </c>
      <c r="E80">
        <v>0</v>
      </c>
      <c r="F80">
        <v>22</v>
      </c>
      <c r="G80">
        <v>0</v>
      </c>
      <c r="H80">
        <f t="shared" si="1"/>
        <v>172</v>
      </c>
    </row>
    <row r="81" spans="1:8" ht="409.5" x14ac:dyDescent="0.25">
      <c r="A81">
        <v>80</v>
      </c>
      <c r="B81" t="s">
        <v>126</v>
      </c>
      <c r="C81" s="1" t="s">
        <v>672</v>
      </c>
      <c r="D81">
        <v>2</v>
      </c>
      <c r="E81">
        <v>0</v>
      </c>
      <c r="F81">
        <v>20</v>
      </c>
      <c r="G81">
        <v>0</v>
      </c>
      <c r="H81">
        <f t="shared" si="1"/>
        <v>170</v>
      </c>
    </row>
    <row r="82" spans="1:8" ht="409.5" x14ac:dyDescent="0.25">
      <c r="A82">
        <v>81</v>
      </c>
      <c r="B82" t="s">
        <v>126</v>
      </c>
      <c r="C82" s="1" t="s">
        <v>673</v>
      </c>
      <c r="D82">
        <v>3</v>
      </c>
      <c r="E82">
        <v>1</v>
      </c>
      <c r="F82">
        <v>18</v>
      </c>
      <c r="G82">
        <v>0</v>
      </c>
      <c r="H82">
        <f t="shared" si="1"/>
        <v>144</v>
      </c>
    </row>
    <row r="83" spans="1:8" ht="409.5" x14ac:dyDescent="0.25">
      <c r="A83">
        <v>82</v>
      </c>
      <c r="B83" t="s">
        <v>126</v>
      </c>
      <c r="C83" s="1" t="s">
        <v>674</v>
      </c>
      <c r="D83">
        <v>2</v>
      </c>
      <c r="E83">
        <v>1</v>
      </c>
      <c r="F83">
        <v>22</v>
      </c>
      <c r="G83">
        <v>0</v>
      </c>
      <c r="H83">
        <f t="shared" si="1"/>
        <v>164</v>
      </c>
    </row>
    <row r="84" spans="1:8" ht="409.5" x14ac:dyDescent="0.25">
      <c r="A84">
        <v>83</v>
      </c>
      <c r="B84" t="s">
        <v>126</v>
      </c>
      <c r="C84" s="1" t="s">
        <v>675</v>
      </c>
      <c r="D84">
        <v>0</v>
      </c>
      <c r="E84">
        <v>1</v>
      </c>
      <c r="F84">
        <v>16</v>
      </c>
      <c r="G84">
        <v>0</v>
      </c>
      <c r="H84">
        <f t="shared" si="1"/>
        <v>150</v>
      </c>
    </row>
    <row r="85" spans="1:8" ht="409.5" x14ac:dyDescent="0.25">
      <c r="A85">
        <v>84</v>
      </c>
      <c r="B85" t="s">
        <v>126</v>
      </c>
      <c r="C85" s="1" t="s">
        <v>676</v>
      </c>
      <c r="D85">
        <v>2</v>
      </c>
      <c r="E85">
        <v>0</v>
      </c>
      <c r="F85">
        <v>21</v>
      </c>
      <c r="G85">
        <v>0</v>
      </c>
      <c r="H85">
        <f t="shared" si="1"/>
        <v>158</v>
      </c>
    </row>
    <row r="86" spans="1:8" ht="409.5" x14ac:dyDescent="0.25">
      <c r="A86">
        <v>85</v>
      </c>
      <c r="B86" t="s">
        <v>126</v>
      </c>
      <c r="C86" s="1" t="s">
        <v>1279</v>
      </c>
      <c r="D86">
        <v>2</v>
      </c>
      <c r="E86">
        <v>0</v>
      </c>
      <c r="F86">
        <v>22</v>
      </c>
      <c r="G86">
        <v>0</v>
      </c>
      <c r="H86">
        <f t="shared" si="1"/>
        <v>143</v>
      </c>
    </row>
    <row r="87" spans="1:8" ht="409.5" x14ac:dyDescent="0.25">
      <c r="A87">
        <v>86</v>
      </c>
      <c r="B87" t="s">
        <v>126</v>
      </c>
      <c r="C87" s="1" t="s">
        <v>1280</v>
      </c>
      <c r="D87">
        <v>0</v>
      </c>
      <c r="E87">
        <v>0</v>
      </c>
      <c r="F87">
        <v>20</v>
      </c>
      <c r="G87">
        <v>0</v>
      </c>
      <c r="H87">
        <f t="shared" si="1"/>
        <v>164</v>
      </c>
    </row>
    <row r="88" spans="1:8" ht="409.5" x14ac:dyDescent="0.25">
      <c r="A88">
        <v>87</v>
      </c>
      <c r="B88" t="s">
        <v>126</v>
      </c>
      <c r="C88" s="1" t="s">
        <v>677</v>
      </c>
      <c r="D88">
        <v>1</v>
      </c>
      <c r="E88">
        <v>0</v>
      </c>
      <c r="F88">
        <v>24</v>
      </c>
      <c r="G88">
        <v>0</v>
      </c>
      <c r="H88">
        <f t="shared" si="1"/>
        <v>154</v>
      </c>
    </row>
    <row r="89" spans="1:8" ht="409.5" x14ac:dyDescent="0.25">
      <c r="A89">
        <v>88</v>
      </c>
      <c r="B89" t="s">
        <v>126</v>
      </c>
      <c r="C89" s="1" t="s">
        <v>1281</v>
      </c>
      <c r="D89">
        <v>2</v>
      </c>
      <c r="E89">
        <v>0</v>
      </c>
      <c r="F89">
        <v>24</v>
      </c>
      <c r="G89">
        <v>0</v>
      </c>
      <c r="H89">
        <f t="shared" si="1"/>
        <v>158</v>
      </c>
    </row>
    <row r="90" spans="1:8" ht="409.5" x14ac:dyDescent="0.25">
      <c r="A90">
        <v>89</v>
      </c>
      <c r="B90" t="s">
        <v>126</v>
      </c>
      <c r="C90" s="1" t="s">
        <v>1272</v>
      </c>
      <c r="D90">
        <v>1</v>
      </c>
      <c r="E90">
        <v>0</v>
      </c>
      <c r="F90">
        <v>23</v>
      </c>
      <c r="G90">
        <v>0</v>
      </c>
      <c r="H90">
        <f t="shared" si="1"/>
        <v>163</v>
      </c>
    </row>
    <row r="91" spans="1:8" ht="409.5" x14ac:dyDescent="0.25">
      <c r="A91">
        <v>90</v>
      </c>
      <c r="B91" t="s">
        <v>126</v>
      </c>
      <c r="C91" s="1" t="s">
        <v>678</v>
      </c>
      <c r="D91">
        <v>2</v>
      </c>
      <c r="E91">
        <v>0</v>
      </c>
      <c r="F91">
        <v>21</v>
      </c>
      <c r="G91">
        <v>0</v>
      </c>
      <c r="H91">
        <f t="shared" si="1"/>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CD7D-9C8A-49B5-9AA4-3BB96BCA0F79}">
  <dimension ref="A1:J169"/>
  <sheetViews>
    <sheetView topLeftCell="A146" workbookViewId="0">
      <selection activeCell="I2" sqref="I2:I169"/>
    </sheetView>
  </sheetViews>
  <sheetFormatPr defaultRowHeight="18" x14ac:dyDescent="0.25"/>
  <sheetData>
    <row r="1" spans="1:10" x14ac:dyDescent="0.25">
      <c r="A1" t="s">
        <v>0</v>
      </c>
      <c r="B1" t="s">
        <v>1</v>
      </c>
      <c r="C1" t="s">
        <v>2</v>
      </c>
      <c r="D1" t="s">
        <v>3</v>
      </c>
      <c r="E1" t="s">
        <v>4</v>
      </c>
      <c r="F1" t="s">
        <v>5</v>
      </c>
      <c r="G1" t="s">
        <v>6</v>
      </c>
      <c r="H1" t="s">
        <v>7</v>
      </c>
      <c r="I1" t="s">
        <v>8</v>
      </c>
      <c r="J1" t="s">
        <v>9</v>
      </c>
    </row>
    <row r="2" spans="1:10" x14ac:dyDescent="0.25">
      <c r="A2">
        <v>7</v>
      </c>
      <c r="B2" t="s">
        <v>10</v>
      </c>
      <c r="C2" t="s">
        <v>11</v>
      </c>
      <c r="D2" s="1" t="s">
        <v>12</v>
      </c>
      <c r="E2">
        <v>9</v>
      </c>
      <c r="F2">
        <v>2</v>
      </c>
      <c r="G2">
        <v>14</v>
      </c>
      <c r="H2">
        <v>0</v>
      </c>
      <c r="I2">
        <v>135</v>
      </c>
      <c r="J2">
        <v>0.84299999999999997</v>
      </c>
    </row>
    <row r="3" spans="1:10" x14ac:dyDescent="0.25">
      <c r="A3">
        <v>7</v>
      </c>
      <c r="B3" t="s">
        <v>10</v>
      </c>
      <c r="C3" t="s">
        <v>13</v>
      </c>
      <c r="D3" s="1" t="s">
        <v>14</v>
      </c>
      <c r="E3">
        <v>2</v>
      </c>
      <c r="F3">
        <v>10</v>
      </c>
      <c r="G3">
        <v>14</v>
      </c>
      <c r="H3">
        <v>0</v>
      </c>
      <c r="I3">
        <v>143</v>
      </c>
      <c r="J3">
        <v>0.85799999999999998</v>
      </c>
    </row>
    <row r="4" spans="1:10" x14ac:dyDescent="0.25">
      <c r="A4">
        <v>8</v>
      </c>
      <c r="B4" t="s">
        <v>10</v>
      </c>
      <c r="C4" t="s">
        <v>11</v>
      </c>
      <c r="D4" s="1" t="s">
        <v>15</v>
      </c>
      <c r="E4">
        <v>10</v>
      </c>
      <c r="F4">
        <v>3</v>
      </c>
      <c r="G4">
        <v>12</v>
      </c>
      <c r="H4">
        <v>0</v>
      </c>
      <c r="I4">
        <v>133</v>
      </c>
      <c r="J4">
        <v>0.72299999999999998</v>
      </c>
    </row>
    <row r="5" spans="1:10" x14ac:dyDescent="0.25">
      <c r="A5">
        <v>8</v>
      </c>
      <c r="B5" t="s">
        <v>10</v>
      </c>
      <c r="C5" t="s">
        <v>13</v>
      </c>
      <c r="D5" s="1" t="s">
        <v>16</v>
      </c>
      <c r="E5">
        <v>1</v>
      </c>
      <c r="F5">
        <v>12</v>
      </c>
      <c r="G5">
        <v>11</v>
      </c>
      <c r="H5">
        <v>0</v>
      </c>
      <c r="I5">
        <v>141</v>
      </c>
      <c r="J5">
        <v>0.73199999999999998</v>
      </c>
    </row>
    <row r="6" spans="1:10" x14ac:dyDescent="0.25">
      <c r="A6">
        <v>9</v>
      </c>
      <c r="B6" t="s">
        <v>10</v>
      </c>
      <c r="C6" t="s">
        <v>11</v>
      </c>
      <c r="D6" s="1" t="s">
        <v>17</v>
      </c>
      <c r="E6">
        <v>12</v>
      </c>
      <c r="F6">
        <v>3</v>
      </c>
      <c r="G6">
        <v>15</v>
      </c>
      <c r="H6">
        <v>0</v>
      </c>
      <c r="I6">
        <v>165</v>
      </c>
      <c r="J6">
        <v>0.84499999999999997</v>
      </c>
    </row>
    <row r="7" spans="1:10" x14ac:dyDescent="0.25">
      <c r="A7">
        <v>9</v>
      </c>
      <c r="B7" t="s">
        <v>10</v>
      </c>
      <c r="C7" t="s">
        <v>13</v>
      </c>
      <c r="D7" s="1" t="s">
        <v>18</v>
      </c>
      <c r="E7">
        <v>1</v>
      </c>
      <c r="F7">
        <v>9</v>
      </c>
      <c r="G7">
        <v>14</v>
      </c>
      <c r="H7">
        <v>0</v>
      </c>
      <c r="I7">
        <v>146</v>
      </c>
      <c r="J7">
        <v>0.83599999999999997</v>
      </c>
    </row>
    <row r="8" spans="1:10" x14ac:dyDescent="0.25">
      <c r="A8">
        <v>10</v>
      </c>
      <c r="B8" t="s">
        <v>10</v>
      </c>
      <c r="C8" t="s">
        <v>11</v>
      </c>
      <c r="D8" s="1" t="s">
        <v>19</v>
      </c>
      <c r="E8">
        <v>10</v>
      </c>
      <c r="F8">
        <v>5</v>
      </c>
      <c r="G8">
        <v>14</v>
      </c>
      <c r="H8">
        <v>0</v>
      </c>
      <c r="I8">
        <v>148</v>
      </c>
      <c r="J8">
        <v>0.83399999999999996</v>
      </c>
    </row>
    <row r="9" spans="1:10" x14ac:dyDescent="0.25">
      <c r="A9">
        <v>10</v>
      </c>
      <c r="B9" t="s">
        <v>10</v>
      </c>
      <c r="C9" t="s">
        <v>13</v>
      </c>
      <c r="D9" s="1" t="s">
        <v>20</v>
      </c>
      <c r="E9">
        <v>0</v>
      </c>
      <c r="F9">
        <v>10</v>
      </c>
      <c r="G9">
        <v>14</v>
      </c>
      <c r="H9">
        <v>0</v>
      </c>
      <c r="I9">
        <v>139</v>
      </c>
      <c r="J9">
        <v>0.82399999999999995</v>
      </c>
    </row>
    <row r="10" spans="1:10" x14ac:dyDescent="0.25">
      <c r="A10">
        <v>11</v>
      </c>
      <c r="B10" t="s">
        <v>10</v>
      </c>
      <c r="C10" t="s">
        <v>11</v>
      </c>
      <c r="D10" s="1" t="s">
        <v>21</v>
      </c>
      <c r="E10">
        <v>9</v>
      </c>
      <c r="F10">
        <v>3</v>
      </c>
      <c r="G10">
        <v>15</v>
      </c>
      <c r="H10">
        <v>0</v>
      </c>
      <c r="I10">
        <v>154</v>
      </c>
      <c r="J10">
        <v>0.86499999999999999</v>
      </c>
    </row>
    <row r="11" spans="1:10" x14ac:dyDescent="0.25">
      <c r="A11">
        <v>11</v>
      </c>
      <c r="B11" t="s">
        <v>10</v>
      </c>
      <c r="C11" t="s">
        <v>13</v>
      </c>
      <c r="D11" s="1" t="s">
        <v>22</v>
      </c>
      <c r="E11">
        <v>1</v>
      </c>
      <c r="F11">
        <v>9</v>
      </c>
      <c r="G11">
        <v>15</v>
      </c>
      <c r="H11">
        <v>0</v>
      </c>
      <c r="I11">
        <v>151</v>
      </c>
      <c r="J11">
        <v>0.84799999999999998</v>
      </c>
    </row>
    <row r="12" spans="1:10" x14ac:dyDescent="0.25">
      <c r="A12">
        <v>12</v>
      </c>
      <c r="B12" t="s">
        <v>10</v>
      </c>
      <c r="C12" t="s">
        <v>11</v>
      </c>
      <c r="D12" s="1" t="s">
        <v>23</v>
      </c>
      <c r="E12">
        <v>10</v>
      </c>
      <c r="F12">
        <v>3</v>
      </c>
      <c r="G12">
        <v>15</v>
      </c>
      <c r="H12">
        <v>0</v>
      </c>
      <c r="I12">
        <v>155</v>
      </c>
      <c r="J12">
        <v>0.73899999999999999</v>
      </c>
    </row>
    <row r="13" spans="1:10" x14ac:dyDescent="0.25">
      <c r="A13">
        <v>12</v>
      </c>
      <c r="B13" t="s">
        <v>10</v>
      </c>
      <c r="C13" t="s">
        <v>13</v>
      </c>
      <c r="D13" s="1" t="s">
        <v>24</v>
      </c>
      <c r="E13">
        <v>1</v>
      </c>
      <c r="F13">
        <v>11</v>
      </c>
      <c r="G13">
        <v>14</v>
      </c>
      <c r="H13">
        <v>0</v>
      </c>
      <c r="I13">
        <v>156</v>
      </c>
      <c r="J13">
        <v>0.85799999999999998</v>
      </c>
    </row>
    <row r="14" spans="1:10" x14ac:dyDescent="0.25">
      <c r="A14">
        <v>13</v>
      </c>
      <c r="B14" t="s">
        <v>10</v>
      </c>
      <c r="C14" t="s">
        <v>11</v>
      </c>
      <c r="D14" s="1" t="s">
        <v>25</v>
      </c>
      <c r="E14">
        <v>9</v>
      </c>
      <c r="F14">
        <v>2</v>
      </c>
      <c r="G14">
        <v>14</v>
      </c>
      <c r="H14">
        <v>0</v>
      </c>
      <c r="I14">
        <v>140</v>
      </c>
      <c r="J14">
        <v>0.83699999999999997</v>
      </c>
    </row>
    <row r="15" spans="1:10" x14ac:dyDescent="0.25">
      <c r="A15">
        <v>13</v>
      </c>
      <c r="B15" t="s">
        <v>10</v>
      </c>
      <c r="C15" t="s">
        <v>13</v>
      </c>
      <c r="D15" s="1" t="s">
        <v>26</v>
      </c>
      <c r="E15">
        <v>1</v>
      </c>
      <c r="F15">
        <v>11</v>
      </c>
      <c r="G15">
        <v>14</v>
      </c>
      <c r="H15">
        <v>0</v>
      </c>
      <c r="I15">
        <v>145</v>
      </c>
      <c r="J15">
        <v>0.81499999999999995</v>
      </c>
    </row>
    <row r="16" spans="1:10" x14ac:dyDescent="0.25">
      <c r="A16">
        <v>14</v>
      </c>
      <c r="B16" t="s">
        <v>10</v>
      </c>
      <c r="C16" t="s">
        <v>11</v>
      </c>
      <c r="D16" s="1" t="s">
        <v>27</v>
      </c>
      <c r="E16">
        <v>11</v>
      </c>
      <c r="F16">
        <v>4</v>
      </c>
      <c r="G16">
        <v>12</v>
      </c>
      <c r="H16">
        <v>0</v>
      </c>
      <c r="I16">
        <v>139</v>
      </c>
      <c r="J16">
        <v>0.77700000000000002</v>
      </c>
    </row>
    <row r="17" spans="1:10" x14ac:dyDescent="0.25">
      <c r="A17">
        <v>14</v>
      </c>
      <c r="B17" t="s">
        <v>10</v>
      </c>
      <c r="C17" t="s">
        <v>13</v>
      </c>
      <c r="D17" s="1" t="s">
        <v>28</v>
      </c>
      <c r="E17">
        <v>1</v>
      </c>
      <c r="F17">
        <v>9</v>
      </c>
      <c r="G17">
        <v>13</v>
      </c>
      <c r="H17">
        <v>0</v>
      </c>
      <c r="I17">
        <v>144</v>
      </c>
      <c r="J17">
        <v>0.89900000000000002</v>
      </c>
    </row>
    <row r="18" spans="1:10" x14ac:dyDescent="0.25">
      <c r="A18">
        <v>15</v>
      </c>
      <c r="B18" t="s">
        <v>10</v>
      </c>
      <c r="C18" t="s">
        <v>11</v>
      </c>
      <c r="D18" s="1" t="s">
        <v>29</v>
      </c>
      <c r="E18">
        <v>9</v>
      </c>
      <c r="F18">
        <v>1</v>
      </c>
      <c r="G18">
        <v>13</v>
      </c>
      <c r="H18">
        <v>0</v>
      </c>
      <c r="I18">
        <v>137</v>
      </c>
      <c r="J18">
        <v>0.745</v>
      </c>
    </row>
    <row r="19" spans="1:10" x14ac:dyDescent="0.25">
      <c r="A19">
        <v>15</v>
      </c>
      <c r="B19" t="s">
        <v>10</v>
      </c>
      <c r="C19" t="s">
        <v>13</v>
      </c>
      <c r="D19" s="1" t="s">
        <v>30</v>
      </c>
      <c r="E19">
        <v>1</v>
      </c>
      <c r="F19">
        <v>9</v>
      </c>
      <c r="G19">
        <v>15</v>
      </c>
      <c r="H19">
        <v>0</v>
      </c>
      <c r="I19">
        <v>148</v>
      </c>
      <c r="J19">
        <v>0.80400000000000005</v>
      </c>
    </row>
    <row r="20" spans="1:10" x14ac:dyDescent="0.25">
      <c r="A20">
        <v>16</v>
      </c>
      <c r="B20" t="s">
        <v>10</v>
      </c>
      <c r="C20" t="s">
        <v>11</v>
      </c>
      <c r="D20" s="1" t="s">
        <v>31</v>
      </c>
      <c r="E20">
        <v>9</v>
      </c>
      <c r="F20">
        <v>3</v>
      </c>
      <c r="G20">
        <v>16</v>
      </c>
      <c r="H20">
        <v>0</v>
      </c>
      <c r="I20">
        <v>147</v>
      </c>
      <c r="J20">
        <v>0.876</v>
      </c>
    </row>
    <row r="21" spans="1:10" x14ac:dyDescent="0.25">
      <c r="A21">
        <v>16</v>
      </c>
      <c r="B21" t="s">
        <v>10</v>
      </c>
      <c r="C21" t="s">
        <v>13</v>
      </c>
      <c r="D21" s="1" t="s">
        <v>32</v>
      </c>
      <c r="E21">
        <v>2</v>
      </c>
      <c r="F21">
        <v>10</v>
      </c>
      <c r="G21">
        <v>16</v>
      </c>
      <c r="H21">
        <v>0</v>
      </c>
      <c r="I21">
        <v>162</v>
      </c>
      <c r="J21">
        <v>0.875</v>
      </c>
    </row>
    <row r="22" spans="1:10" x14ac:dyDescent="0.25">
      <c r="A22">
        <v>17</v>
      </c>
      <c r="B22" t="s">
        <v>10</v>
      </c>
      <c r="C22" t="s">
        <v>11</v>
      </c>
      <c r="D22" s="1" t="s">
        <v>33</v>
      </c>
      <c r="E22">
        <v>9</v>
      </c>
      <c r="F22">
        <v>3</v>
      </c>
      <c r="G22">
        <v>14</v>
      </c>
      <c r="H22">
        <v>0</v>
      </c>
      <c r="I22">
        <v>142</v>
      </c>
      <c r="J22">
        <v>0.74399999999999999</v>
      </c>
    </row>
    <row r="23" spans="1:10" x14ac:dyDescent="0.25">
      <c r="A23">
        <v>17</v>
      </c>
      <c r="B23" t="s">
        <v>10</v>
      </c>
      <c r="C23" t="s">
        <v>13</v>
      </c>
      <c r="D23" s="1" t="s">
        <v>34</v>
      </c>
      <c r="E23">
        <v>1</v>
      </c>
      <c r="F23">
        <v>9</v>
      </c>
      <c r="G23">
        <v>14</v>
      </c>
      <c r="H23">
        <v>0</v>
      </c>
      <c r="I23">
        <v>143</v>
      </c>
      <c r="J23">
        <v>0.86699999999999999</v>
      </c>
    </row>
    <row r="24" spans="1:10" x14ac:dyDescent="0.25">
      <c r="A24">
        <v>18</v>
      </c>
      <c r="B24" t="s">
        <v>10</v>
      </c>
      <c r="C24" t="s">
        <v>11</v>
      </c>
      <c r="D24" s="1" t="s">
        <v>35</v>
      </c>
      <c r="E24">
        <v>8</v>
      </c>
      <c r="F24">
        <v>4</v>
      </c>
      <c r="G24">
        <v>17</v>
      </c>
      <c r="H24">
        <v>0</v>
      </c>
      <c r="I24">
        <v>152</v>
      </c>
      <c r="J24">
        <v>0.73099999999999998</v>
      </c>
    </row>
    <row r="25" spans="1:10" x14ac:dyDescent="0.25">
      <c r="A25">
        <v>18</v>
      </c>
      <c r="B25" t="s">
        <v>10</v>
      </c>
      <c r="C25" t="s">
        <v>13</v>
      </c>
      <c r="D25" s="1" t="s">
        <v>36</v>
      </c>
      <c r="E25">
        <v>1</v>
      </c>
      <c r="F25">
        <v>11</v>
      </c>
      <c r="G25">
        <v>17</v>
      </c>
      <c r="H25">
        <v>0</v>
      </c>
      <c r="I25">
        <v>158</v>
      </c>
      <c r="J25">
        <v>0.77900000000000003</v>
      </c>
    </row>
    <row r="26" spans="1:10" x14ac:dyDescent="0.25">
      <c r="A26">
        <v>19</v>
      </c>
      <c r="B26" t="s">
        <v>10</v>
      </c>
      <c r="C26" t="s">
        <v>11</v>
      </c>
      <c r="D26" s="1" t="s">
        <v>37</v>
      </c>
      <c r="E26">
        <v>12</v>
      </c>
      <c r="F26">
        <v>3</v>
      </c>
      <c r="G26">
        <v>12</v>
      </c>
      <c r="H26">
        <v>0</v>
      </c>
      <c r="I26">
        <v>165</v>
      </c>
      <c r="J26">
        <v>0.71499999999999997</v>
      </c>
    </row>
    <row r="27" spans="1:10" x14ac:dyDescent="0.25">
      <c r="A27">
        <v>19</v>
      </c>
      <c r="B27" t="s">
        <v>10</v>
      </c>
      <c r="C27" t="s">
        <v>13</v>
      </c>
      <c r="D27" s="1" t="s">
        <v>38</v>
      </c>
      <c r="E27">
        <v>3</v>
      </c>
      <c r="F27">
        <v>11</v>
      </c>
      <c r="G27">
        <v>13</v>
      </c>
      <c r="H27">
        <v>0</v>
      </c>
      <c r="I27">
        <v>171</v>
      </c>
      <c r="J27">
        <v>0.76700000000000002</v>
      </c>
    </row>
    <row r="28" spans="1:10" x14ac:dyDescent="0.25">
      <c r="A28">
        <v>20</v>
      </c>
      <c r="B28" t="s">
        <v>10</v>
      </c>
      <c r="C28" t="s">
        <v>11</v>
      </c>
      <c r="D28" s="1" t="s">
        <v>39</v>
      </c>
      <c r="E28">
        <v>10</v>
      </c>
      <c r="F28">
        <v>2</v>
      </c>
      <c r="G28">
        <v>16</v>
      </c>
      <c r="H28">
        <v>0</v>
      </c>
      <c r="I28">
        <v>141</v>
      </c>
      <c r="J28">
        <v>0.81899999999999995</v>
      </c>
    </row>
    <row r="29" spans="1:10" x14ac:dyDescent="0.25">
      <c r="A29">
        <v>20</v>
      </c>
      <c r="B29" t="s">
        <v>10</v>
      </c>
      <c r="C29" t="s">
        <v>13</v>
      </c>
      <c r="D29" s="1" t="s">
        <v>40</v>
      </c>
      <c r="E29">
        <v>1</v>
      </c>
      <c r="F29">
        <v>9</v>
      </c>
      <c r="G29">
        <v>15</v>
      </c>
      <c r="H29">
        <v>0</v>
      </c>
      <c r="I29">
        <v>143</v>
      </c>
      <c r="J29">
        <v>0.84499999999999997</v>
      </c>
    </row>
    <row r="30" spans="1:10" x14ac:dyDescent="0.25">
      <c r="A30">
        <v>21</v>
      </c>
      <c r="B30" t="s">
        <v>10</v>
      </c>
      <c r="C30" t="s">
        <v>11</v>
      </c>
      <c r="D30" s="1" t="s">
        <v>41</v>
      </c>
      <c r="E30">
        <v>8</v>
      </c>
      <c r="F30">
        <v>2</v>
      </c>
      <c r="G30">
        <v>19</v>
      </c>
      <c r="H30">
        <v>0</v>
      </c>
      <c r="I30">
        <v>150</v>
      </c>
      <c r="J30">
        <v>0.94699999999999995</v>
      </c>
    </row>
    <row r="31" spans="1:10" x14ac:dyDescent="0.25">
      <c r="A31">
        <v>21</v>
      </c>
      <c r="B31" t="s">
        <v>10</v>
      </c>
      <c r="C31" t="s">
        <v>13</v>
      </c>
      <c r="D31" s="1" t="s">
        <v>42</v>
      </c>
      <c r="E31">
        <v>1</v>
      </c>
      <c r="F31">
        <v>9</v>
      </c>
      <c r="G31">
        <v>19</v>
      </c>
      <c r="H31">
        <v>0</v>
      </c>
      <c r="I31">
        <v>153</v>
      </c>
      <c r="J31">
        <v>0.90100000000000002</v>
      </c>
    </row>
    <row r="32" spans="1:10" x14ac:dyDescent="0.25">
      <c r="A32">
        <v>22</v>
      </c>
      <c r="B32" t="s">
        <v>10</v>
      </c>
      <c r="C32" t="s">
        <v>11</v>
      </c>
      <c r="D32" s="1" t="s">
        <v>43</v>
      </c>
      <c r="E32">
        <v>8</v>
      </c>
      <c r="F32">
        <v>2</v>
      </c>
      <c r="G32">
        <v>12</v>
      </c>
      <c r="H32">
        <v>0</v>
      </c>
      <c r="I32">
        <v>171</v>
      </c>
      <c r="J32">
        <v>0.88800000000000001</v>
      </c>
    </row>
    <row r="33" spans="1:10" x14ac:dyDescent="0.25">
      <c r="A33">
        <v>22</v>
      </c>
      <c r="B33" t="s">
        <v>10</v>
      </c>
      <c r="C33" t="s">
        <v>13</v>
      </c>
      <c r="D33" s="1" t="s">
        <v>44</v>
      </c>
      <c r="E33">
        <v>3</v>
      </c>
      <c r="F33">
        <v>12</v>
      </c>
      <c r="G33">
        <v>14</v>
      </c>
      <c r="H33">
        <v>0</v>
      </c>
      <c r="I33">
        <v>196</v>
      </c>
      <c r="J33">
        <v>0.872</v>
      </c>
    </row>
    <row r="34" spans="1:10" x14ac:dyDescent="0.25">
      <c r="A34">
        <v>23</v>
      </c>
      <c r="B34" t="s">
        <v>10</v>
      </c>
      <c r="C34" t="s">
        <v>11</v>
      </c>
      <c r="D34" s="1" t="s">
        <v>45</v>
      </c>
      <c r="E34">
        <v>9</v>
      </c>
      <c r="F34">
        <v>3</v>
      </c>
      <c r="G34">
        <v>13</v>
      </c>
      <c r="H34">
        <v>0</v>
      </c>
      <c r="I34">
        <v>128</v>
      </c>
      <c r="J34">
        <v>0.89400000000000002</v>
      </c>
    </row>
    <row r="35" spans="1:10" x14ac:dyDescent="0.25">
      <c r="A35">
        <v>23</v>
      </c>
      <c r="B35" t="s">
        <v>10</v>
      </c>
      <c r="C35" t="s">
        <v>13</v>
      </c>
      <c r="D35" s="1" t="s">
        <v>46</v>
      </c>
      <c r="E35">
        <v>0</v>
      </c>
      <c r="F35">
        <v>10</v>
      </c>
      <c r="G35">
        <v>13</v>
      </c>
      <c r="H35">
        <v>0</v>
      </c>
      <c r="I35">
        <v>129</v>
      </c>
      <c r="J35">
        <v>0.88400000000000001</v>
      </c>
    </row>
    <row r="36" spans="1:10" x14ac:dyDescent="0.25">
      <c r="A36">
        <v>24</v>
      </c>
      <c r="B36" t="s">
        <v>10</v>
      </c>
      <c r="C36" t="s">
        <v>11</v>
      </c>
      <c r="D36" s="1" t="s">
        <v>47</v>
      </c>
      <c r="E36">
        <v>10</v>
      </c>
      <c r="F36">
        <v>4</v>
      </c>
      <c r="G36">
        <v>17</v>
      </c>
      <c r="H36">
        <v>0</v>
      </c>
      <c r="I36">
        <v>144</v>
      </c>
      <c r="J36">
        <v>0.89800000000000002</v>
      </c>
    </row>
    <row r="37" spans="1:10" x14ac:dyDescent="0.25">
      <c r="A37">
        <v>24</v>
      </c>
      <c r="B37" t="s">
        <v>10</v>
      </c>
      <c r="C37" t="s">
        <v>13</v>
      </c>
      <c r="D37" s="1" t="s">
        <v>48</v>
      </c>
      <c r="E37">
        <v>1</v>
      </c>
      <c r="F37">
        <v>9</v>
      </c>
      <c r="G37">
        <v>16</v>
      </c>
      <c r="H37">
        <v>0</v>
      </c>
      <c r="I37">
        <v>141</v>
      </c>
      <c r="J37">
        <v>0.81799999999999995</v>
      </c>
    </row>
    <row r="38" spans="1:10" x14ac:dyDescent="0.25">
      <c r="A38">
        <v>25</v>
      </c>
      <c r="B38" t="s">
        <v>10</v>
      </c>
      <c r="C38" t="s">
        <v>11</v>
      </c>
      <c r="D38" s="1" t="s">
        <v>49</v>
      </c>
      <c r="E38">
        <v>8</v>
      </c>
      <c r="F38">
        <v>4</v>
      </c>
      <c r="G38">
        <v>14</v>
      </c>
      <c r="H38">
        <v>0</v>
      </c>
      <c r="I38">
        <v>141</v>
      </c>
      <c r="J38">
        <v>0.77600000000000002</v>
      </c>
    </row>
    <row r="39" spans="1:10" x14ac:dyDescent="0.25">
      <c r="A39">
        <v>25</v>
      </c>
      <c r="B39" t="s">
        <v>10</v>
      </c>
      <c r="C39" t="s">
        <v>13</v>
      </c>
      <c r="D39" s="1" t="s">
        <v>50</v>
      </c>
      <c r="E39">
        <v>2</v>
      </c>
      <c r="F39">
        <v>12</v>
      </c>
      <c r="G39">
        <v>14</v>
      </c>
      <c r="H39">
        <v>0</v>
      </c>
      <c r="I39">
        <v>158</v>
      </c>
      <c r="J39">
        <v>0.79900000000000004</v>
      </c>
    </row>
    <row r="40" spans="1:10" x14ac:dyDescent="0.25">
      <c r="A40">
        <v>26</v>
      </c>
      <c r="B40" t="s">
        <v>10</v>
      </c>
      <c r="C40" t="s">
        <v>11</v>
      </c>
      <c r="D40" s="1" t="s">
        <v>51</v>
      </c>
      <c r="E40">
        <v>8</v>
      </c>
      <c r="F40">
        <v>3</v>
      </c>
      <c r="G40">
        <v>17</v>
      </c>
      <c r="H40">
        <v>0</v>
      </c>
      <c r="I40">
        <v>158</v>
      </c>
      <c r="J40">
        <v>0.92600000000000005</v>
      </c>
    </row>
    <row r="41" spans="1:10" x14ac:dyDescent="0.25">
      <c r="A41">
        <v>26</v>
      </c>
      <c r="B41" t="s">
        <v>10</v>
      </c>
      <c r="C41" t="s">
        <v>13</v>
      </c>
      <c r="D41" s="1" t="s">
        <v>52</v>
      </c>
      <c r="E41">
        <v>0</v>
      </c>
      <c r="F41">
        <v>9</v>
      </c>
      <c r="G41">
        <v>17</v>
      </c>
      <c r="H41">
        <v>0</v>
      </c>
      <c r="I41">
        <v>150</v>
      </c>
      <c r="J41">
        <v>0.86199999999999999</v>
      </c>
    </row>
    <row r="42" spans="1:10" x14ac:dyDescent="0.25">
      <c r="A42">
        <v>27</v>
      </c>
      <c r="B42" t="s">
        <v>10</v>
      </c>
      <c r="C42" t="s">
        <v>11</v>
      </c>
      <c r="D42" s="1" t="s">
        <v>53</v>
      </c>
      <c r="E42">
        <v>8</v>
      </c>
      <c r="F42">
        <v>3</v>
      </c>
      <c r="G42">
        <v>12</v>
      </c>
      <c r="H42">
        <v>0</v>
      </c>
      <c r="I42">
        <v>138</v>
      </c>
      <c r="J42">
        <v>0.84499999999999997</v>
      </c>
    </row>
    <row r="43" spans="1:10" x14ac:dyDescent="0.25">
      <c r="A43">
        <v>27</v>
      </c>
      <c r="B43" t="s">
        <v>10</v>
      </c>
      <c r="C43" t="s">
        <v>13</v>
      </c>
      <c r="D43" s="1" t="s">
        <v>54</v>
      </c>
      <c r="E43">
        <v>0</v>
      </c>
      <c r="F43">
        <v>13</v>
      </c>
      <c r="G43">
        <v>13</v>
      </c>
      <c r="H43">
        <v>0</v>
      </c>
      <c r="I43">
        <v>152</v>
      </c>
      <c r="J43">
        <v>0.73099999999999998</v>
      </c>
    </row>
    <row r="44" spans="1:10" x14ac:dyDescent="0.25">
      <c r="A44">
        <v>28</v>
      </c>
      <c r="B44" t="s">
        <v>10</v>
      </c>
      <c r="C44" t="s">
        <v>11</v>
      </c>
      <c r="D44" s="1" t="s">
        <v>55</v>
      </c>
      <c r="E44">
        <v>10</v>
      </c>
      <c r="F44">
        <v>3</v>
      </c>
      <c r="G44">
        <v>13</v>
      </c>
      <c r="H44">
        <v>0</v>
      </c>
      <c r="I44">
        <v>156</v>
      </c>
      <c r="J44">
        <v>0.879</v>
      </c>
    </row>
    <row r="45" spans="1:10" x14ac:dyDescent="0.25">
      <c r="A45">
        <v>28</v>
      </c>
      <c r="B45" t="s">
        <v>10</v>
      </c>
      <c r="C45" t="s">
        <v>13</v>
      </c>
      <c r="D45" s="1" t="s">
        <v>56</v>
      </c>
      <c r="E45">
        <v>2</v>
      </c>
      <c r="F45">
        <v>9</v>
      </c>
      <c r="G45">
        <v>13</v>
      </c>
      <c r="H45">
        <v>0</v>
      </c>
      <c r="I45">
        <v>138</v>
      </c>
      <c r="J45">
        <v>0.83899999999999997</v>
      </c>
    </row>
    <row r="46" spans="1:10" x14ac:dyDescent="0.25">
      <c r="A46">
        <v>29</v>
      </c>
      <c r="B46" t="s">
        <v>10</v>
      </c>
      <c r="C46" t="s">
        <v>11</v>
      </c>
      <c r="D46" s="1" t="s">
        <v>57</v>
      </c>
      <c r="E46">
        <v>8</v>
      </c>
      <c r="F46">
        <v>2</v>
      </c>
      <c r="G46">
        <v>16</v>
      </c>
      <c r="H46">
        <v>0</v>
      </c>
      <c r="I46">
        <v>132</v>
      </c>
      <c r="J46">
        <v>0.83499999999999996</v>
      </c>
    </row>
    <row r="47" spans="1:10" x14ac:dyDescent="0.25">
      <c r="A47">
        <v>29</v>
      </c>
      <c r="B47" t="s">
        <v>10</v>
      </c>
      <c r="C47" t="s">
        <v>13</v>
      </c>
      <c r="D47" s="1" t="s">
        <v>58</v>
      </c>
      <c r="E47">
        <v>0</v>
      </c>
      <c r="F47">
        <v>11</v>
      </c>
      <c r="G47">
        <v>16</v>
      </c>
      <c r="H47">
        <v>0</v>
      </c>
      <c r="I47">
        <v>139</v>
      </c>
      <c r="J47">
        <v>0.78100000000000003</v>
      </c>
    </row>
    <row r="48" spans="1:10" x14ac:dyDescent="0.25">
      <c r="A48">
        <v>30</v>
      </c>
      <c r="B48" t="s">
        <v>10</v>
      </c>
      <c r="C48" t="s">
        <v>11</v>
      </c>
      <c r="D48" s="1" t="s">
        <v>59</v>
      </c>
      <c r="E48">
        <v>11</v>
      </c>
      <c r="F48">
        <v>3</v>
      </c>
      <c r="G48">
        <v>15</v>
      </c>
      <c r="H48">
        <v>0</v>
      </c>
      <c r="I48">
        <v>151</v>
      </c>
      <c r="J48">
        <v>0.879</v>
      </c>
    </row>
    <row r="49" spans="1:10" x14ac:dyDescent="0.25">
      <c r="A49">
        <v>30</v>
      </c>
      <c r="B49" t="s">
        <v>10</v>
      </c>
      <c r="C49" t="s">
        <v>13</v>
      </c>
      <c r="D49" s="1" t="s">
        <v>60</v>
      </c>
      <c r="E49">
        <v>2</v>
      </c>
      <c r="F49">
        <v>10</v>
      </c>
      <c r="G49">
        <v>15</v>
      </c>
      <c r="H49">
        <v>0</v>
      </c>
      <c r="I49">
        <v>145</v>
      </c>
      <c r="J49">
        <v>0.86199999999999999</v>
      </c>
    </row>
    <row r="50" spans="1:10" x14ac:dyDescent="0.25">
      <c r="A50">
        <v>31</v>
      </c>
      <c r="B50" t="s">
        <v>10</v>
      </c>
      <c r="C50" t="s">
        <v>11</v>
      </c>
      <c r="D50" s="1" t="s">
        <v>61</v>
      </c>
      <c r="E50">
        <v>12</v>
      </c>
      <c r="F50">
        <v>4</v>
      </c>
      <c r="G50">
        <v>17</v>
      </c>
      <c r="H50">
        <v>0</v>
      </c>
      <c r="I50">
        <v>157</v>
      </c>
      <c r="J50">
        <v>0.752</v>
      </c>
    </row>
    <row r="51" spans="1:10" x14ac:dyDescent="0.25">
      <c r="A51">
        <v>31</v>
      </c>
      <c r="B51" t="s">
        <v>10</v>
      </c>
      <c r="C51" t="s">
        <v>13</v>
      </c>
      <c r="D51" s="1" t="s">
        <v>62</v>
      </c>
      <c r="E51">
        <v>0</v>
      </c>
      <c r="F51">
        <v>9</v>
      </c>
      <c r="G51">
        <v>17</v>
      </c>
      <c r="H51">
        <v>0</v>
      </c>
      <c r="I51">
        <v>140</v>
      </c>
      <c r="J51">
        <v>0.86699999999999999</v>
      </c>
    </row>
    <row r="52" spans="1:10" x14ac:dyDescent="0.25">
      <c r="A52">
        <v>32</v>
      </c>
      <c r="B52" t="s">
        <v>10</v>
      </c>
      <c r="C52" t="s">
        <v>11</v>
      </c>
      <c r="D52" s="1" t="s">
        <v>63</v>
      </c>
      <c r="E52">
        <v>9</v>
      </c>
      <c r="F52">
        <v>1</v>
      </c>
      <c r="G52">
        <v>13</v>
      </c>
      <c r="H52">
        <v>0</v>
      </c>
      <c r="I52">
        <v>130</v>
      </c>
      <c r="J52">
        <v>0.81</v>
      </c>
    </row>
    <row r="53" spans="1:10" x14ac:dyDescent="0.25">
      <c r="A53">
        <v>32</v>
      </c>
      <c r="B53" t="s">
        <v>10</v>
      </c>
      <c r="C53" t="s">
        <v>13</v>
      </c>
      <c r="D53" s="1" t="s">
        <v>64</v>
      </c>
      <c r="E53">
        <v>1</v>
      </c>
      <c r="F53">
        <v>8</v>
      </c>
      <c r="G53">
        <v>13</v>
      </c>
      <c r="H53">
        <v>0</v>
      </c>
      <c r="I53">
        <v>141</v>
      </c>
      <c r="J53">
        <v>0.81499999999999995</v>
      </c>
    </row>
    <row r="54" spans="1:10" x14ac:dyDescent="0.25">
      <c r="A54">
        <v>33</v>
      </c>
      <c r="B54" t="s">
        <v>10</v>
      </c>
      <c r="C54" t="s">
        <v>11</v>
      </c>
      <c r="D54" s="1" t="s">
        <v>65</v>
      </c>
      <c r="E54">
        <v>8</v>
      </c>
      <c r="F54">
        <v>3</v>
      </c>
      <c r="G54">
        <v>16</v>
      </c>
      <c r="H54">
        <v>0</v>
      </c>
      <c r="I54">
        <v>146</v>
      </c>
      <c r="J54">
        <v>0.749</v>
      </c>
    </row>
    <row r="55" spans="1:10" x14ac:dyDescent="0.25">
      <c r="A55">
        <v>33</v>
      </c>
      <c r="B55" t="s">
        <v>10</v>
      </c>
      <c r="C55" t="s">
        <v>13</v>
      </c>
      <c r="D55" s="1" t="s">
        <v>66</v>
      </c>
      <c r="E55">
        <v>1</v>
      </c>
      <c r="F55">
        <v>12</v>
      </c>
      <c r="G55">
        <v>16</v>
      </c>
      <c r="H55">
        <v>0</v>
      </c>
      <c r="I55">
        <v>171</v>
      </c>
      <c r="J55">
        <v>0.86599999999999999</v>
      </c>
    </row>
    <row r="56" spans="1:10" x14ac:dyDescent="0.25">
      <c r="A56">
        <v>34</v>
      </c>
      <c r="B56" t="s">
        <v>10</v>
      </c>
      <c r="C56" t="s">
        <v>11</v>
      </c>
      <c r="D56" s="1" t="s">
        <v>67</v>
      </c>
      <c r="E56">
        <v>9</v>
      </c>
      <c r="F56">
        <v>2</v>
      </c>
      <c r="G56">
        <v>14</v>
      </c>
      <c r="H56">
        <v>0</v>
      </c>
      <c r="I56">
        <v>140</v>
      </c>
      <c r="J56">
        <v>0.84299999999999997</v>
      </c>
    </row>
    <row r="57" spans="1:10" x14ac:dyDescent="0.25">
      <c r="A57">
        <v>34</v>
      </c>
      <c r="B57" t="s">
        <v>10</v>
      </c>
      <c r="C57" t="s">
        <v>13</v>
      </c>
      <c r="D57" s="1" t="s">
        <v>68</v>
      </c>
      <c r="E57">
        <v>1</v>
      </c>
      <c r="F57">
        <v>8</v>
      </c>
      <c r="G57">
        <v>13</v>
      </c>
      <c r="H57">
        <v>0</v>
      </c>
      <c r="I57">
        <v>132</v>
      </c>
      <c r="J57">
        <v>0.81599999999999995</v>
      </c>
    </row>
    <row r="58" spans="1:10" x14ac:dyDescent="0.25">
      <c r="A58">
        <v>35</v>
      </c>
      <c r="B58" t="s">
        <v>69</v>
      </c>
      <c r="C58" t="s">
        <v>11</v>
      </c>
      <c r="D58" s="1" t="s">
        <v>70</v>
      </c>
      <c r="E58">
        <v>12</v>
      </c>
      <c r="F58">
        <v>0</v>
      </c>
      <c r="G58">
        <v>16</v>
      </c>
      <c r="H58">
        <v>0</v>
      </c>
      <c r="I58">
        <v>141</v>
      </c>
      <c r="J58">
        <v>0.76200000000000001</v>
      </c>
    </row>
    <row r="59" spans="1:10" x14ac:dyDescent="0.25">
      <c r="A59">
        <v>35</v>
      </c>
      <c r="B59" t="s">
        <v>69</v>
      </c>
      <c r="C59" t="s">
        <v>13</v>
      </c>
      <c r="D59" s="1" t="s">
        <v>71</v>
      </c>
      <c r="E59">
        <v>2</v>
      </c>
      <c r="F59">
        <v>9</v>
      </c>
      <c r="G59">
        <v>18</v>
      </c>
      <c r="H59">
        <v>0</v>
      </c>
      <c r="I59">
        <v>157</v>
      </c>
      <c r="J59">
        <v>0.76200000000000001</v>
      </c>
    </row>
    <row r="60" spans="1:10" x14ac:dyDescent="0.25">
      <c r="A60">
        <v>36</v>
      </c>
      <c r="B60" t="s">
        <v>69</v>
      </c>
      <c r="C60" t="s">
        <v>11</v>
      </c>
      <c r="D60" s="1" t="s">
        <v>72</v>
      </c>
      <c r="E60">
        <v>8</v>
      </c>
      <c r="F60">
        <v>0</v>
      </c>
      <c r="G60">
        <v>14</v>
      </c>
      <c r="H60">
        <v>0</v>
      </c>
      <c r="I60">
        <v>140</v>
      </c>
      <c r="J60">
        <v>0.89800000000000002</v>
      </c>
    </row>
    <row r="61" spans="1:10" x14ac:dyDescent="0.25">
      <c r="A61">
        <v>36</v>
      </c>
      <c r="B61" t="s">
        <v>69</v>
      </c>
      <c r="C61" t="s">
        <v>13</v>
      </c>
      <c r="D61" s="1" t="s">
        <v>73</v>
      </c>
      <c r="E61">
        <v>2</v>
      </c>
      <c r="F61">
        <v>9</v>
      </c>
      <c r="G61">
        <v>14</v>
      </c>
      <c r="H61">
        <v>0</v>
      </c>
      <c r="I61">
        <v>157</v>
      </c>
      <c r="J61">
        <v>0.747</v>
      </c>
    </row>
    <row r="62" spans="1:10" x14ac:dyDescent="0.25">
      <c r="A62">
        <v>37</v>
      </c>
      <c r="B62" t="s">
        <v>69</v>
      </c>
      <c r="C62" t="s">
        <v>11</v>
      </c>
      <c r="D62" s="1" t="s">
        <v>74</v>
      </c>
      <c r="E62">
        <v>12</v>
      </c>
      <c r="F62">
        <v>0</v>
      </c>
      <c r="G62">
        <v>17</v>
      </c>
      <c r="H62">
        <v>0</v>
      </c>
      <c r="I62">
        <v>154</v>
      </c>
      <c r="J62">
        <v>0.73799999999999999</v>
      </c>
    </row>
    <row r="63" spans="1:10" x14ac:dyDescent="0.25">
      <c r="A63">
        <v>37</v>
      </c>
      <c r="B63" t="s">
        <v>69</v>
      </c>
      <c r="C63" t="s">
        <v>13</v>
      </c>
      <c r="D63" s="1" t="s">
        <v>75</v>
      </c>
      <c r="E63">
        <v>1</v>
      </c>
      <c r="F63">
        <v>10</v>
      </c>
      <c r="G63">
        <v>19</v>
      </c>
      <c r="H63">
        <v>0</v>
      </c>
      <c r="I63">
        <v>163</v>
      </c>
      <c r="J63">
        <v>0.79</v>
      </c>
    </row>
    <row r="64" spans="1:10" x14ac:dyDescent="0.25">
      <c r="A64">
        <v>38</v>
      </c>
      <c r="B64" t="s">
        <v>69</v>
      </c>
      <c r="C64" t="s">
        <v>11</v>
      </c>
      <c r="D64" s="1" t="s">
        <v>76</v>
      </c>
      <c r="E64">
        <v>9</v>
      </c>
      <c r="F64">
        <v>0</v>
      </c>
      <c r="G64">
        <v>19</v>
      </c>
      <c r="H64">
        <v>0</v>
      </c>
      <c r="I64">
        <v>154</v>
      </c>
      <c r="J64">
        <v>0.81399999999999995</v>
      </c>
    </row>
    <row r="65" spans="1:10" x14ac:dyDescent="0.25">
      <c r="A65">
        <v>38</v>
      </c>
      <c r="B65" t="s">
        <v>69</v>
      </c>
      <c r="C65" t="s">
        <v>13</v>
      </c>
      <c r="D65" s="1" t="s">
        <v>77</v>
      </c>
      <c r="E65">
        <v>2</v>
      </c>
      <c r="F65">
        <v>9</v>
      </c>
      <c r="G65">
        <v>19</v>
      </c>
      <c r="H65">
        <v>0</v>
      </c>
      <c r="I65">
        <v>155</v>
      </c>
      <c r="J65">
        <v>0.82799999999999996</v>
      </c>
    </row>
    <row r="66" spans="1:10" x14ac:dyDescent="0.25">
      <c r="A66">
        <v>39</v>
      </c>
      <c r="B66" t="s">
        <v>69</v>
      </c>
      <c r="C66" t="s">
        <v>11</v>
      </c>
      <c r="D66" s="1" t="s">
        <v>78</v>
      </c>
      <c r="E66">
        <v>11</v>
      </c>
      <c r="F66">
        <v>2</v>
      </c>
      <c r="G66">
        <v>16</v>
      </c>
      <c r="H66">
        <v>0</v>
      </c>
      <c r="I66">
        <v>167</v>
      </c>
      <c r="J66">
        <v>0.78500000000000003</v>
      </c>
    </row>
    <row r="67" spans="1:10" x14ac:dyDescent="0.25">
      <c r="A67">
        <v>39</v>
      </c>
      <c r="B67" t="s">
        <v>69</v>
      </c>
      <c r="C67" t="s">
        <v>13</v>
      </c>
      <c r="D67" s="1" t="s">
        <v>79</v>
      </c>
      <c r="E67">
        <v>4</v>
      </c>
      <c r="F67">
        <v>11</v>
      </c>
      <c r="G67">
        <v>17</v>
      </c>
      <c r="H67">
        <v>0</v>
      </c>
      <c r="I67">
        <v>167</v>
      </c>
      <c r="J67">
        <v>0.876</v>
      </c>
    </row>
    <row r="68" spans="1:10" x14ac:dyDescent="0.25">
      <c r="A68">
        <v>40</v>
      </c>
      <c r="B68" t="s">
        <v>69</v>
      </c>
      <c r="C68" t="s">
        <v>11</v>
      </c>
      <c r="D68" s="1" t="s">
        <v>80</v>
      </c>
      <c r="E68">
        <v>10</v>
      </c>
      <c r="F68">
        <v>0</v>
      </c>
      <c r="G68">
        <v>18</v>
      </c>
      <c r="H68">
        <v>0</v>
      </c>
      <c r="I68">
        <v>148</v>
      </c>
      <c r="J68">
        <v>0.80500000000000005</v>
      </c>
    </row>
    <row r="69" spans="1:10" x14ac:dyDescent="0.25">
      <c r="A69">
        <v>40</v>
      </c>
      <c r="B69" t="s">
        <v>69</v>
      </c>
      <c r="C69" t="s">
        <v>13</v>
      </c>
      <c r="D69" s="1" t="s">
        <v>81</v>
      </c>
      <c r="E69">
        <v>1</v>
      </c>
      <c r="F69">
        <v>11</v>
      </c>
      <c r="G69">
        <v>19</v>
      </c>
      <c r="H69">
        <v>0</v>
      </c>
      <c r="I69">
        <v>161</v>
      </c>
      <c r="J69">
        <v>0.85599999999999998</v>
      </c>
    </row>
    <row r="70" spans="1:10" x14ac:dyDescent="0.25">
      <c r="A70">
        <v>41</v>
      </c>
      <c r="B70" t="s">
        <v>69</v>
      </c>
      <c r="C70" t="s">
        <v>11</v>
      </c>
      <c r="D70" s="1" t="s">
        <v>82</v>
      </c>
      <c r="E70">
        <v>11</v>
      </c>
      <c r="F70">
        <v>0</v>
      </c>
      <c r="G70">
        <v>19</v>
      </c>
      <c r="H70">
        <v>0</v>
      </c>
      <c r="I70">
        <v>171</v>
      </c>
      <c r="J70">
        <v>0.79200000000000004</v>
      </c>
    </row>
    <row r="71" spans="1:10" x14ac:dyDescent="0.25">
      <c r="A71">
        <v>41</v>
      </c>
      <c r="B71" t="s">
        <v>69</v>
      </c>
      <c r="C71" t="s">
        <v>13</v>
      </c>
      <c r="D71" s="1" t="s">
        <v>83</v>
      </c>
      <c r="E71">
        <v>3</v>
      </c>
      <c r="F71">
        <v>8</v>
      </c>
      <c r="G71">
        <v>18</v>
      </c>
      <c r="H71">
        <v>0</v>
      </c>
      <c r="I71">
        <v>162</v>
      </c>
      <c r="J71">
        <v>0.83799999999999997</v>
      </c>
    </row>
    <row r="72" spans="1:10" x14ac:dyDescent="0.25">
      <c r="A72">
        <v>42</v>
      </c>
      <c r="B72" t="s">
        <v>69</v>
      </c>
      <c r="C72" t="s">
        <v>11</v>
      </c>
      <c r="D72" s="1" t="s">
        <v>84</v>
      </c>
      <c r="E72">
        <v>10</v>
      </c>
      <c r="F72">
        <v>0</v>
      </c>
      <c r="G72">
        <v>16</v>
      </c>
      <c r="H72">
        <v>0</v>
      </c>
      <c r="I72">
        <v>150</v>
      </c>
      <c r="J72">
        <v>0.78600000000000003</v>
      </c>
    </row>
    <row r="73" spans="1:10" x14ac:dyDescent="0.25">
      <c r="A73">
        <v>42</v>
      </c>
      <c r="B73" t="s">
        <v>69</v>
      </c>
      <c r="C73" t="s">
        <v>13</v>
      </c>
      <c r="D73" s="1" t="s">
        <v>85</v>
      </c>
      <c r="E73">
        <v>2</v>
      </c>
      <c r="F73">
        <v>8</v>
      </c>
      <c r="G73">
        <v>17</v>
      </c>
      <c r="H73">
        <v>0</v>
      </c>
      <c r="I73">
        <v>165</v>
      </c>
      <c r="J73">
        <v>0.78</v>
      </c>
    </row>
    <row r="74" spans="1:10" x14ac:dyDescent="0.25">
      <c r="A74">
        <v>43</v>
      </c>
      <c r="B74" t="s">
        <v>69</v>
      </c>
      <c r="C74" t="s">
        <v>11</v>
      </c>
      <c r="D74" s="1" t="s">
        <v>86</v>
      </c>
      <c r="E74">
        <v>9</v>
      </c>
      <c r="F74">
        <v>1</v>
      </c>
      <c r="G74">
        <v>17</v>
      </c>
      <c r="H74">
        <v>0</v>
      </c>
      <c r="I74">
        <v>153</v>
      </c>
      <c r="J74">
        <v>0.80500000000000005</v>
      </c>
    </row>
    <row r="75" spans="1:10" x14ac:dyDescent="0.25">
      <c r="A75">
        <v>43</v>
      </c>
      <c r="B75" t="s">
        <v>69</v>
      </c>
      <c r="C75" t="s">
        <v>13</v>
      </c>
      <c r="D75" s="1" t="s">
        <v>87</v>
      </c>
      <c r="E75">
        <v>1</v>
      </c>
      <c r="F75">
        <v>11</v>
      </c>
      <c r="G75">
        <v>17</v>
      </c>
      <c r="H75">
        <v>0</v>
      </c>
      <c r="I75">
        <v>173</v>
      </c>
      <c r="J75">
        <v>0.88200000000000001</v>
      </c>
    </row>
    <row r="76" spans="1:10" x14ac:dyDescent="0.25">
      <c r="A76">
        <v>44</v>
      </c>
      <c r="B76" t="s">
        <v>69</v>
      </c>
      <c r="C76" t="s">
        <v>11</v>
      </c>
      <c r="D76" s="1" t="s">
        <v>88</v>
      </c>
      <c r="E76">
        <v>11</v>
      </c>
      <c r="F76">
        <v>0</v>
      </c>
      <c r="G76">
        <v>17</v>
      </c>
      <c r="H76">
        <v>0</v>
      </c>
      <c r="I76">
        <v>133</v>
      </c>
      <c r="J76">
        <v>0.746</v>
      </c>
    </row>
    <row r="77" spans="1:10" x14ac:dyDescent="0.25">
      <c r="A77">
        <v>44</v>
      </c>
      <c r="B77" t="s">
        <v>69</v>
      </c>
      <c r="C77" t="s">
        <v>13</v>
      </c>
      <c r="D77" s="1" t="s">
        <v>89</v>
      </c>
      <c r="E77">
        <v>0</v>
      </c>
      <c r="F77">
        <v>8</v>
      </c>
      <c r="G77">
        <v>17</v>
      </c>
      <c r="H77">
        <v>0</v>
      </c>
      <c r="I77">
        <v>143</v>
      </c>
      <c r="J77">
        <v>0.754</v>
      </c>
    </row>
    <row r="78" spans="1:10" x14ac:dyDescent="0.25">
      <c r="A78">
        <v>45</v>
      </c>
      <c r="B78" t="s">
        <v>69</v>
      </c>
      <c r="C78" t="s">
        <v>11</v>
      </c>
      <c r="D78" s="1" t="s">
        <v>90</v>
      </c>
      <c r="E78">
        <v>9</v>
      </c>
      <c r="F78">
        <v>0</v>
      </c>
      <c r="G78">
        <v>15</v>
      </c>
      <c r="H78">
        <v>0</v>
      </c>
      <c r="I78">
        <v>149</v>
      </c>
      <c r="J78">
        <v>0.77400000000000002</v>
      </c>
    </row>
    <row r="79" spans="1:10" x14ac:dyDescent="0.25">
      <c r="A79">
        <v>45</v>
      </c>
      <c r="B79" t="s">
        <v>69</v>
      </c>
      <c r="C79" t="s">
        <v>13</v>
      </c>
      <c r="D79" s="1" t="s">
        <v>91</v>
      </c>
      <c r="E79">
        <v>0</v>
      </c>
      <c r="F79">
        <v>10</v>
      </c>
      <c r="G79">
        <v>16</v>
      </c>
      <c r="H79">
        <v>0</v>
      </c>
      <c r="I79">
        <v>170</v>
      </c>
      <c r="J79">
        <v>0.86699999999999999</v>
      </c>
    </row>
    <row r="80" spans="1:10" x14ac:dyDescent="0.25">
      <c r="A80">
        <v>46</v>
      </c>
      <c r="B80" t="s">
        <v>69</v>
      </c>
      <c r="C80" t="s">
        <v>11</v>
      </c>
      <c r="D80" s="1" t="s">
        <v>92</v>
      </c>
      <c r="E80">
        <v>9</v>
      </c>
      <c r="F80">
        <v>0</v>
      </c>
      <c r="G80">
        <v>15</v>
      </c>
      <c r="H80">
        <v>0</v>
      </c>
      <c r="I80">
        <v>150</v>
      </c>
      <c r="J80">
        <v>0.82699999999999996</v>
      </c>
    </row>
    <row r="81" spans="1:10" x14ac:dyDescent="0.25">
      <c r="A81">
        <v>46</v>
      </c>
      <c r="B81" t="s">
        <v>69</v>
      </c>
      <c r="C81" t="s">
        <v>13</v>
      </c>
      <c r="D81" s="1" t="s">
        <v>93</v>
      </c>
      <c r="E81">
        <v>2</v>
      </c>
      <c r="F81">
        <v>9</v>
      </c>
      <c r="G81">
        <v>15</v>
      </c>
      <c r="H81">
        <v>0</v>
      </c>
      <c r="I81">
        <v>164</v>
      </c>
      <c r="J81">
        <v>0.83199999999999996</v>
      </c>
    </row>
    <row r="82" spans="1:10" x14ac:dyDescent="0.25">
      <c r="A82">
        <v>47</v>
      </c>
      <c r="B82" t="s">
        <v>69</v>
      </c>
      <c r="C82" t="s">
        <v>11</v>
      </c>
      <c r="D82" s="1" t="s">
        <v>94</v>
      </c>
      <c r="E82">
        <v>11</v>
      </c>
      <c r="F82">
        <v>0</v>
      </c>
      <c r="G82">
        <v>19</v>
      </c>
      <c r="H82">
        <v>0</v>
      </c>
      <c r="I82">
        <v>164</v>
      </c>
      <c r="J82">
        <v>0.83199999999999996</v>
      </c>
    </row>
    <row r="83" spans="1:10" x14ac:dyDescent="0.25">
      <c r="A83">
        <v>47</v>
      </c>
      <c r="B83" t="s">
        <v>69</v>
      </c>
      <c r="C83" t="s">
        <v>13</v>
      </c>
      <c r="D83" s="1" t="s">
        <v>95</v>
      </c>
      <c r="E83">
        <v>1</v>
      </c>
      <c r="F83">
        <v>9</v>
      </c>
      <c r="G83">
        <v>19</v>
      </c>
      <c r="H83">
        <v>0</v>
      </c>
      <c r="I83">
        <v>153</v>
      </c>
      <c r="J83">
        <v>0.85799999999999998</v>
      </c>
    </row>
    <row r="84" spans="1:10" x14ac:dyDescent="0.25">
      <c r="A84">
        <v>48</v>
      </c>
      <c r="B84" t="s">
        <v>69</v>
      </c>
      <c r="C84" t="s">
        <v>11</v>
      </c>
      <c r="D84" s="1" t="s">
        <v>96</v>
      </c>
      <c r="E84">
        <v>13</v>
      </c>
      <c r="F84">
        <v>0</v>
      </c>
      <c r="G84">
        <v>19</v>
      </c>
      <c r="H84">
        <v>0</v>
      </c>
      <c r="I84">
        <v>172</v>
      </c>
      <c r="J84">
        <v>0.77</v>
      </c>
    </row>
    <row r="85" spans="1:10" x14ac:dyDescent="0.25">
      <c r="A85">
        <v>48</v>
      </c>
      <c r="B85" t="s">
        <v>69</v>
      </c>
      <c r="C85" t="s">
        <v>13</v>
      </c>
      <c r="D85" s="1" t="s">
        <v>97</v>
      </c>
      <c r="E85">
        <v>2</v>
      </c>
      <c r="F85">
        <v>9</v>
      </c>
      <c r="G85">
        <v>18</v>
      </c>
      <c r="H85">
        <v>0</v>
      </c>
      <c r="I85">
        <v>168</v>
      </c>
      <c r="J85">
        <v>0.89100000000000001</v>
      </c>
    </row>
    <row r="86" spans="1:10" x14ac:dyDescent="0.25">
      <c r="A86">
        <v>49</v>
      </c>
      <c r="B86" t="s">
        <v>69</v>
      </c>
      <c r="C86" t="s">
        <v>11</v>
      </c>
      <c r="D86" s="1" t="s">
        <v>98</v>
      </c>
      <c r="E86">
        <v>9</v>
      </c>
      <c r="F86">
        <v>0</v>
      </c>
      <c r="G86">
        <v>17</v>
      </c>
      <c r="H86">
        <v>0</v>
      </c>
      <c r="I86">
        <v>138</v>
      </c>
      <c r="J86">
        <v>0.73399999999999999</v>
      </c>
    </row>
    <row r="87" spans="1:10" x14ac:dyDescent="0.25">
      <c r="A87">
        <v>49</v>
      </c>
      <c r="B87" t="s">
        <v>69</v>
      </c>
      <c r="C87" t="s">
        <v>13</v>
      </c>
      <c r="D87" s="1" t="s">
        <v>99</v>
      </c>
      <c r="E87">
        <v>1</v>
      </c>
      <c r="F87">
        <v>9</v>
      </c>
      <c r="G87">
        <v>15</v>
      </c>
      <c r="H87">
        <v>0</v>
      </c>
      <c r="I87">
        <v>157</v>
      </c>
      <c r="J87">
        <v>0.71599999999999997</v>
      </c>
    </row>
    <row r="88" spans="1:10" x14ac:dyDescent="0.25">
      <c r="A88">
        <v>50</v>
      </c>
      <c r="B88" t="s">
        <v>69</v>
      </c>
      <c r="C88" t="s">
        <v>11</v>
      </c>
      <c r="D88" s="1" t="s">
        <v>100</v>
      </c>
      <c r="E88">
        <v>9</v>
      </c>
      <c r="F88">
        <v>1</v>
      </c>
      <c r="G88">
        <v>18</v>
      </c>
      <c r="H88">
        <v>0</v>
      </c>
      <c r="I88">
        <v>158</v>
      </c>
      <c r="J88">
        <v>0.91600000000000004</v>
      </c>
    </row>
    <row r="89" spans="1:10" x14ac:dyDescent="0.25">
      <c r="A89">
        <v>50</v>
      </c>
      <c r="B89" t="s">
        <v>69</v>
      </c>
      <c r="C89" t="s">
        <v>13</v>
      </c>
      <c r="D89" s="1" t="s">
        <v>101</v>
      </c>
      <c r="E89">
        <v>3</v>
      </c>
      <c r="F89">
        <v>12</v>
      </c>
      <c r="G89">
        <v>17</v>
      </c>
      <c r="H89">
        <v>0</v>
      </c>
      <c r="I89">
        <v>175</v>
      </c>
      <c r="J89">
        <v>0.80100000000000005</v>
      </c>
    </row>
    <row r="90" spans="1:10" x14ac:dyDescent="0.25">
      <c r="A90">
        <v>51</v>
      </c>
      <c r="B90" t="s">
        <v>69</v>
      </c>
      <c r="C90" t="s">
        <v>11</v>
      </c>
      <c r="D90" s="1" t="s">
        <v>102</v>
      </c>
      <c r="E90">
        <v>8</v>
      </c>
      <c r="F90">
        <v>0</v>
      </c>
      <c r="G90">
        <v>19</v>
      </c>
      <c r="H90">
        <v>0</v>
      </c>
      <c r="I90">
        <v>135</v>
      </c>
      <c r="J90">
        <v>0.90200000000000002</v>
      </c>
    </row>
    <row r="91" spans="1:10" x14ac:dyDescent="0.25">
      <c r="A91">
        <v>51</v>
      </c>
      <c r="B91" t="s">
        <v>69</v>
      </c>
      <c r="C91" t="s">
        <v>13</v>
      </c>
      <c r="D91" s="1" t="s">
        <v>103</v>
      </c>
      <c r="E91">
        <v>2</v>
      </c>
      <c r="F91">
        <v>8</v>
      </c>
      <c r="G91">
        <v>18</v>
      </c>
      <c r="H91">
        <v>0</v>
      </c>
      <c r="I91">
        <v>144</v>
      </c>
      <c r="J91">
        <v>0.72</v>
      </c>
    </row>
    <row r="92" spans="1:10" x14ac:dyDescent="0.25">
      <c r="A92">
        <v>52</v>
      </c>
      <c r="B92" t="s">
        <v>69</v>
      </c>
      <c r="C92" t="s">
        <v>11</v>
      </c>
      <c r="D92" s="1" t="s">
        <v>104</v>
      </c>
      <c r="E92">
        <v>8</v>
      </c>
      <c r="F92">
        <v>0</v>
      </c>
      <c r="G92">
        <v>20</v>
      </c>
      <c r="H92">
        <v>0</v>
      </c>
      <c r="I92">
        <v>180</v>
      </c>
      <c r="J92">
        <v>0.84499999999999997</v>
      </c>
    </row>
    <row r="93" spans="1:10" x14ac:dyDescent="0.25">
      <c r="A93">
        <v>52</v>
      </c>
      <c r="B93" t="s">
        <v>69</v>
      </c>
      <c r="C93" t="s">
        <v>13</v>
      </c>
      <c r="D93" s="1" t="s">
        <v>105</v>
      </c>
      <c r="E93">
        <v>0</v>
      </c>
      <c r="F93">
        <v>11</v>
      </c>
      <c r="G93">
        <v>20</v>
      </c>
      <c r="H93">
        <v>0</v>
      </c>
      <c r="I93">
        <v>181</v>
      </c>
      <c r="J93">
        <v>0.78300000000000003</v>
      </c>
    </row>
    <row r="94" spans="1:10" x14ac:dyDescent="0.25">
      <c r="A94">
        <v>53</v>
      </c>
      <c r="B94" t="s">
        <v>69</v>
      </c>
      <c r="C94" t="s">
        <v>11</v>
      </c>
      <c r="D94" s="1" t="s">
        <v>106</v>
      </c>
      <c r="E94">
        <v>13</v>
      </c>
      <c r="F94">
        <v>0</v>
      </c>
      <c r="G94">
        <v>20</v>
      </c>
      <c r="H94">
        <v>0</v>
      </c>
      <c r="I94">
        <v>161</v>
      </c>
      <c r="J94">
        <v>0.85799999999999998</v>
      </c>
    </row>
    <row r="95" spans="1:10" x14ac:dyDescent="0.25">
      <c r="A95">
        <v>53</v>
      </c>
      <c r="B95" t="s">
        <v>69</v>
      </c>
      <c r="C95" t="s">
        <v>13</v>
      </c>
      <c r="D95" s="1" t="s">
        <v>107</v>
      </c>
      <c r="E95">
        <v>3</v>
      </c>
      <c r="F95">
        <v>11</v>
      </c>
      <c r="G95">
        <v>18</v>
      </c>
      <c r="H95">
        <v>0</v>
      </c>
      <c r="I95">
        <v>163</v>
      </c>
      <c r="J95">
        <v>0.874</v>
      </c>
    </row>
    <row r="96" spans="1:10" x14ac:dyDescent="0.25">
      <c r="A96">
        <v>54</v>
      </c>
      <c r="B96" t="s">
        <v>69</v>
      </c>
      <c r="C96" t="s">
        <v>11</v>
      </c>
      <c r="D96" s="1" t="s">
        <v>108</v>
      </c>
      <c r="E96">
        <v>10</v>
      </c>
      <c r="F96">
        <v>1</v>
      </c>
      <c r="G96">
        <v>17</v>
      </c>
      <c r="H96">
        <v>0</v>
      </c>
      <c r="I96">
        <v>154</v>
      </c>
      <c r="J96">
        <v>0.75800000000000001</v>
      </c>
    </row>
    <row r="97" spans="1:10" x14ac:dyDescent="0.25">
      <c r="A97">
        <v>54</v>
      </c>
      <c r="B97" t="s">
        <v>69</v>
      </c>
      <c r="C97" t="s">
        <v>13</v>
      </c>
      <c r="D97" s="1" t="s">
        <v>109</v>
      </c>
      <c r="E97">
        <v>1</v>
      </c>
      <c r="F97">
        <v>8</v>
      </c>
      <c r="G97">
        <v>17</v>
      </c>
      <c r="H97">
        <v>0</v>
      </c>
      <c r="I97">
        <v>148</v>
      </c>
      <c r="J97">
        <v>0.90600000000000003</v>
      </c>
    </row>
    <row r="98" spans="1:10" x14ac:dyDescent="0.25">
      <c r="A98">
        <v>55</v>
      </c>
      <c r="B98" t="s">
        <v>69</v>
      </c>
      <c r="C98" t="s">
        <v>11</v>
      </c>
      <c r="D98" s="1" t="s">
        <v>110</v>
      </c>
      <c r="E98">
        <v>10</v>
      </c>
      <c r="F98">
        <v>0</v>
      </c>
      <c r="G98">
        <v>16</v>
      </c>
      <c r="H98">
        <v>0</v>
      </c>
      <c r="I98">
        <v>136</v>
      </c>
      <c r="J98">
        <v>0.71799999999999997</v>
      </c>
    </row>
    <row r="99" spans="1:10" x14ac:dyDescent="0.25">
      <c r="A99">
        <v>55</v>
      </c>
      <c r="B99" t="s">
        <v>69</v>
      </c>
      <c r="C99" t="s">
        <v>13</v>
      </c>
      <c r="D99" s="1" t="s">
        <v>111</v>
      </c>
      <c r="E99">
        <v>1</v>
      </c>
      <c r="F99">
        <v>10</v>
      </c>
      <c r="G99">
        <v>16</v>
      </c>
      <c r="H99">
        <v>0</v>
      </c>
      <c r="I99">
        <v>155</v>
      </c>
      <c r="J99">
        <v>0.74399999999999999</v>
      </c>
    </row>
    <row r="100" spans="1:10" x14ac:dyDescent="0.25">
      <c r="A100">
        <v>56</v>
      </c>
      <c r="B100" t="s">
        <v>69</v>
      </c>
      <c r="C100" t="s">
        <v>11</v>
      </c>
      <c r="D100" s="1" t="s">
        <v>112</v>
      </c>
      <c r="E100">
        <v>12</v>
      </c>
      <c r="F100">
        <v>1</v>
      </c>
      <c r="G100">
        <v>14</v>
      </c>
      <c r="H100">
        <v>0</v>
      </c>
      <c r="I100">
        <v>158</v>
      </c>
      <c r="J100">
        <v>0.745</v>
      </c>
    </row>
    <row r="101" spans="1:10" x14ac:dyDescent="0.25">
      <c r="A101">
        <v>56</v>
      </c>
      <c r="B101" t="s">
        <v>69</v>
      </c>
      <c r="C101" t="s">
        <v>13</v>
      </c>
      <c r="D101" s="1" t="s">
        <v>113</v>
      </c>
      <c r="E101">
        <v>1</v>
      </c>
      <c r="F101">
        <v>8</v>
      </c>
      <c r="G101">
        <v>14</v>
      </c>
      <c r="H101">
        <v>0</v>
      </c>
      <c r="I101">
        <v>149</v>
      </c>
      <c r="J101">
        <v>0.82</v>
      </c>
    </row>
    <row r="102" spans="1:10" x14ac:dyDescent="0.25">
      <c r="A102">
        <v>57</v>
      </c>
      <c r="B102" t="s">
        <v>69</v>
      </c>
      <c r="C102" t="s">
        <v>11</v>
      </c>
      <c r="D102" s="1" t="s">
        <v>114</v>
      </c>
      <c r="E102">
        <v>9</v>
      </c>
      <c r="F102">
        <v>0</v>
      </c>
      <c r="G102">
        <v>17</v>
      </c>
      <c r="H102">
        <v>0</v>
      </c>
      <c r="I102">
        <v>134</v>
      </c>
      <c r="J102">
        <v>0.78500000000000003</v>
      </c>
    </row>
    <row r="103" spans="1:10" x14ac:dyDescent="0.25">
      <c r="A103">
        <v>57</v>
      </c>
      <c r="B103" t="s">
        <v>69</v>
      </c>
      <c r="C103" t="s">
        <v>13</v>
      </c>
      <c r="D103" s="1" t="s">
        <v>115</v>
      </c>
      <c r="E103">
        <v>1</v>
      </c>
      <c r="F103">
        <v>11</v>
      </c>
      <c r="G103">
        <v>17</v>
      </c>
      <c r="H103">
        <v>0</v>
      </c>
      <c r="I103">
        <v>142</v>
      </c>
      <c r="J103">
        <v>0.78200000000000003</v>
      </c>
    </row>
    <row r="104" spans="1:10" x14ac:dyDescent="0.25">
      <c r="A104">
        <v>58</v>
      </c>
      <c r="B104" t="s">
        <v>69</v>
      </c>
      <c r="C104" t="s">
        <v>11</v>
      </c>
      <c r="D104" s="1" t="s">
        <v>116</v>
      </c>
      <c r="E104">
        <v>9</v>
      </c>
      <c r="F104">
        <v>0</v>
      </c>
      <c r="G104">
        <v>18</v>
      </c>
      <c r="H104">
        <v>0</v>
      </c>
      <c r="I104">
        <v>151</v>
      </c>
      <c r="J104">
        <v>0.92500000000000004</v>
      </c>
    </row>
    <row r="105" spans="1:10" x14ac:dyDescent="0.25">
      <c r="A105">
        <v>58</v>
      </c>
      <c r="B105" t="s">
        <v>69</v>
      </c>
      <c r="C105" t="s">
        <v>13</v>
      </c>
      <c r="D105" s="1" t="s">
        <v>117</v>
      </c>
      <c r="E105">
        <v>1</v>
      </c>
      <c r="F105">
        <v>8</v>
      </c>
      <c r="G105">
        <v>19</v>
      </c>
      <c r="H105">
        <v>0</v>
      </c>
      <c r="I105">
        <v>169</v>
      </c>
      <c r="J105">
        <v>0.70099999999999996</v>
      </c>
    </row>
    <row r="106" spans="1:10" x14ac:dyDescent="0.25">
      <c r="A106">
        <v>59</v>
      </c>
      <c r="B106" t="s">
        <v>69</v>
      </c>
      <c r="C106" t="s">
        <v>11</v>
      </c>
      <c r="D106" s="1" t="s">
        <v>118</v>
      </c>
      <c r="E106">
        <v>8</v>
      </c>
      <c r="F106">
        <v>0</v>
      </c>
      <c r="G106">
        <v>17</v>
      </c>
      <c r="H106">
        <v>0</v>
      </c>
      <c r="I106">
        <v>137</v>
      </c>
      <c r="J106">
        <v>0.871</v>
      </c>
    </row>
    <row r="107" spans="1:10" x14ac:dyDescent="0.25">
      <c r="A107">
        <v>59</v>
      </c>
      <c r="B107" t="s">
        <v>69</v>
      </c>
      <c r="C107" t="s">
        <v>13</v>
      </c>
      <c r="D107" s="1" t="s">
        <v>119</v>
      </c>
      <c r="E107">
        <v>1</v>
      </c>
      <c r="F107">
        <v>8</v>
      </c>
      <c r="G107">
        <v>18</v>
      </c>
      <c r="H107">
        <v>0</v>
      </c>
      <c r="I107">
        <v>143</v>
      </c>
      <c r="J107">
        <v>0.92800000000000005</v>
      </c>
    </row>
    <row r="108" spans="1:10" x14ac:dyDescent="0.25">
      <c r="A108">
        <v>60</v>
      </c>
      <c r="B108" t="s">
        <v>69</v>
      </c>
      <c r="C108" t="s">
        <v>11</v>
      </c>
      <c r="D108" s="1" t="s">
        <v>120</v>
      </c>
      <c r="E108">
        <v>9</v>
      </c>
      <c r="F108">
        <v>0</v>
      </c>
      <c r="G108">
        <v>18</v>
      </c>
      <c r="H108">
        <v>0</v>
      </c>
      <c r="I108">
        <v>147</v>
      </c>
      <c r="J108">
        <v>0.83099999999999996</v>
      </c>
    </row>
    <row r="109" spans="1:10" x14ac:dyDescent="0.25">
      <c r="A109">
        <v>60</v>
      </c>
      <c r="B109" t="s">
        <v>69</v>
      </c>
      <c r="C109" t="s">
        <v>13</v>
      </c>
      <c r="D109" s="1" t="s">
        <v>121</v>
      </c>
      <c r="E109">
        <v>2</v>
      </c>
      <c r="F109">
        <v>11</v>
      </c>
      <c r="G109">
        <v>18</v>
      </c>
      <c r="H109">
        <v>0</v>
      </c>
      <c r="I109">
        <v>167</v>
      </c>
      <c r="J109">
        <v>0.84199999999999997</v>
      </c>
    </row>
    <row r="110" spans="1:10" x14ac:dyDescent="0.25">
      <c r="A110">
        <v>61</v>
      </c>
      <c r="B110" t="s">
        <v>69</v>
      </c>
      <c r="C110" t="s">
        <v>11</v>
      </c>
      <c r="D110" s="1" t="s">
        <v>122</v>
      </c>
      <c r="E110">
        <v>8</v>
      </c>
      <c r="F110">
        <v>0</v>
      </c>
      <c r="G110">
        <v>16</v>
      </c>
      <c r="H110">
        <v>0</v>
      </c>
      <c r="I110">
        <v>142</v>
      </c>
      <c r="J110">
        <v>0.752</v>
      </c>
    </row>
    <row r="111" spans="1:10" x14ac:dyDescent="0.25">
      <c r="A111">
        <v>61</v>
      </c>
      <c r="B111" t="s">
        <v>69</v>
      </c>
      <c r="C111" t="s">
        <v>13</v>
      </c>
      <c r="D111" s="1" t="s">
        <v>123</v>
      </c>
      <c r="E111">
        <v>0</v>
      </c>
      <c r="F111">
        <v>10</v>
      </c>
      <c r="G111">
        <v>16</v>
      </c>
      <c r="H111">
        <v>0</v>
      </c>
      <c r="I111">
        <v>161</v>
      </c>
      <c r="J111">
        <v>0.86899999999999999</v>
      </c>
    </row>
    <row r="112" spans="1:10" x14ac:dyDescent="0.25">
      <c r="A112">
        <v>62</v>
      </c>
      <c r="B112" t="s">
        <v>69</v>
      </c>
      <c r="C112" t="s">
        <v>11</v>
      </c>
      <c r="D112" s="1" t="s">
        <v>124</v>
      </c>
      <c r="E112">
        <v>8</v>
      </c>
      <c r="F112">
        <v>0</v>
      </c>
      <c r="G112">
        <v>17</v>
      </c>
      <c r="H112">
        <v>0</v>
      </c>
      <c r="I112">
        <v>163</v>
      </c>
      <c r="J112">
        <v>0.90300000000000002</v>
      </c>
    </row>
    <row r="113" spans="1:10" x14ac:dyDescent="0.25">
      <c r="A113">
        <v>62</v>
      </c>
      <c r="B113" t="s">
        <v>69</v>
      </c>
      <c r="C113" t="s">
        <v>13</v>
      </c>
      <c r="D113" s="1" t="s">
        <v>125</v>
      </c>
      <c r="E113">
        <v>0</v>
      </c>
      <c r="F113">
        <v>10</v>
      </c>
      <c r="G113">
        <v>17</v>
      </c>
      <c r="H113">
        <v>0</v>
      </c>
      <c r="I113">
        <v>175</v>
      </c>
      <c r="J113">
        <v>0.71699999999999997</v>
      </c>
    </row>
    <row r="114" spans="1:10" x14ac:dyDescent="0.25">
      <c r="A114">
        <v>63</v>
      </c>
      <c r="B114" t="s">
        <v>126</v>
      </c>
      <c r="C114" t="s">
        <v>11</v>
      </c>
      <c r="D114" s="1" t="s">
        <v>127</v>
      </c>
      <c r="E114">
        <v>8</v>
      </c>
      <c r="F114">
        <v>0</v>
      </c>
      <c r="G114">
        <v>21</v>
      </c>
      <c r="H114">
        <v>0</v>
      </c>
      <c r="I114">
        <v>165</v>
      </c>
      <c r="J114">
        <v>0.86899999999999999</v>
      </c>
    </row>
    <row r="115" spans="1:10" x14ac:dyDescent="0.25">
      <c r="A115">
        <v>63</v>
      </c>
      <c r="B115" t="s">
        <v>126</v>
      </c>
      <c r="C115" t="s">
        <v>13</v>
      </c>
      <c r="D115" s="1" t="s">
        <v>128</v>
      </c>
      <c r="E115">
        <v>0</v>
      </c>
      <c r="F115">
        <v>8</v>
      </c>
      <c r="G115">
        <v>21</v>
      </c>
      <c r="H115">
        <v>0</v>
      </c>
      <c r="I115">
        <v>170</v>
      </c>
      <c r="J115">
        <v>0.88500000000000001</v>
      </c>
    </row>
    <row r="116" spans="1:10" x14ac:dyDescent="0.25">
      <c r="A116">
        <v>64</v>
      </c>
      <c r="B116" t="s">
        <v>126</v>
      </c>
      <c r="C116" t="s">
        <v>11</v>
      </c>
      <c r="D116" s="1" t="s">
        <v>129</v>
      </c>
      <c r="E116">
        <v>8</v>
      </c>
      <c r="F116">
        <v>0</v>
      </c>
      <c r="G116">
        <v>18</v>
      </c>
      <c r="H116">
        <v>0</v>
      </c>
      <c r="I116">
        <v>152</v>
      </c>
      <c r="J116">
        <v>0.90200000000000002</v>
      </c>
    </row>
    <row r="117" spans="1:10" x14ac:dyDescent="0.25">
      <c r="A117">
        <v>64</v>
      </c>
      <c r="B117" t="s">
        <v>126</v>
      </c>
      <c r="C117" t="s">
        <v>13</v>
      </c>
      <c r="D117" s="1" t="s">
        <v>130</v>
      </c>
      <c r="E117">
        <v>1</v>
      </c>
      <c r="F117">
        <v>10</v>
      </c>
      <c r="G117">
        <v>18</v>
      </c>
      <c r="H117">
        <v>0</v>
      </c>
      <c r="I117">
        <v>163</v>
      </c>
      <c r="J117">
        <v>0.89200000000000002</v>
      </c>
    </row>
    <row r="118" spans="1:10" x14ac:dyDescent="0.25">
      <c r="A118">
        <v>65</v>
      </c>
      <c r="B118" t="s">
        <v>126</v>
      </c>
      <c r="C118" t="s">
        <v>11</v>
      </c>
      <c r="D118" s="1" t="s">
        <v>131</v>
      </c>
      <c r="E118">
        <v>10</v>
      </c>
      <c r="F118">
        <v>0</v>
      </c>
      <c r="G118">
        <v>23</v>
      </c>
      <c r="H118">
        <v>0</v>
      </c>
      <c r="I118">
        <v>177</v>
      </c>
      <c r="J118">
        <v>0.89700000000000002</v>
      </c>
    </row>
    <row r="119" spans="1:10" x14ac:dyDescent="0.25">
      <c r="A119">
        <v>65</v>
      </c>
      <c r="B119" t="s">
        <v>126</v>
      </c>
      <c r="C119" t="s">
        <v>13</v>
      </c>
      <c r="D119" s="1" t="s">
        <v>132</v>
      </c>
      <c r="E119">
        <v>4</v>
      </c>
      <c r="F119">
        <v>8</v>
      </c>
      <c r="G119">
        <v>22</v>
      </c>
      <c r="H119">
        <v>0</v>
      </c>
      <c r="I119">
        <v>170</v>
      </c>
      <c r="J119">
        <v>0.92600000000000005</v>
      </c>
    </row>
    <row r="120" spans="1:10" x14ac:dyDescent="0.25">
      <c r="A120">
        <v>66</v>
      </c>
      <c r="B120" t="s">
        <v>126</v>
      </c>
      <c r="C120" t="s">
        <v>11</v>
      </c>
      <c r="D120" s="1" t="s">
        <v>133</v>
      </c>
      <c r="E120">
        <v>13</v>
      </c>
      <c r="F120">
        <v>0</v>
      </c>
      <c r="G120">
        <v>28</v>
      </c>
      <c r="H120">
        <v>0</v>
      </c>
      <c r="I120">
        <v>171</v>
      </c>
      <c r="J120">
        <v>0.82899999999999996</v>
      </c>
    </row>
    <row r="121" spans="1:10" x14ac:dyDescent="0.25">
      <c r="A121">
        <v>66</v>
      </c>
      <c r="B121" t="s">
        <v>126</v>
      </c>
      <c r="C121" t="s">
        <v>13</v>
      </c>
      <c r="D121" s="1" t="s">
        <v>134</v>
      </c>
      <c r="E121">
        <v>3</v>
      </c>
      <c r="F121">
        <v>11</v>
      </c>
      <c r="G121">
        <v>25</v>
      </c>
      <c r="H121">
        <v>0</v>
      </c>
      <c r="I121">
        <v>177</v>
      </c>
      <c r="J121">
        <v>0.89200000000000002</v>
      </c>
    </row>
    <row r="122" spans="1:10" x14ac:dyDescent="0.25">
      <c r="A122">
        <v>67</v>
      </c>
      <c r="B122" t="s">
        <v>126</v>
      </c>
      <c r="C122" t="s">
        <v>11</v>
      </c>
      <c r="D122" s="1" t="s">
        <v>135</v>
      </c>
      <c r="E122">
        <v>8</v>
      </c>
      <c r="F122">
        <v>0</v>
      </c>
      <c r="G122">
        <v>23</v>
      </c>
      <c r="H122">
        <v>0</v>
      </c>
      <c r="I122">
        <v>146</v>
      </c>
      <c r="J122">
        <v>0.91900000000000004</v>
      </c>
    </row>
    <row r="123" spans="1:10" x14ac:dyDescent="0.25">
      <c r="A123">
        <v>67</v>
      </c>
      <c r="B123" t="s">
        <v>126</v>
      </c>
      <c r="C123" t="s">
        <v>13</v>
      </c>
      <c r="D123" s="1" t="s">
        <v>136</v>
      </c>
      <c r="E123">
        <v>2</v>
      </c>
      <c r="F123">
        <v>8</v>
      </c>
      <c r="G123">
        <v>23</v>
      </c>
      <c r="H123">
        <v>0</v>
      </c>
      <c r="I123">
        <v>146</v>
      </c>
      <c r="J123">
        <v>0.92700000000000005</v>
      </c>
    </row>
    <row r="124" spans="1:10" x14ac:dyDescent="0.25">
      <c r="A124">
        <v>68</v>
      </c>
      <c r="B124" t="s">
        <v>126</v>
      </c>
      <c r="C124" t="s">
        <v>11</v>
      </c>
      <c r="D124" s="1" t="s">
        <v>137</v>
      </c>
      <c r="E124">
        <v>9</v>
      </c>
      <c r="F124">
        <v>0</v>
      </c>
      <c r="G124">
        <v>21</v>
      </c>
      <c r="H124">
        <v>0</v>
      </c>
      <c r="I124">
        <v>159</v>
      </c>
      <c r="J124">
        <v>0.92</v>
      </c>
    </row>
    <row r="125" spans="1:10" x14ac:dyDescent="0.25">
      <c r="A125">
        <v>68</v>
      </c>
      <c r="B125" t="s">
        <v>126</v>
      </c>
      <c r="C125" t="s">
        <v>13</v>
      </c>
      <c r="D125" s="1" t="s">
        <v>138</v>
      </c>
      <c r="E125">
        <v>1</v>
      </c>
      <c r="F125">
        <v>10</v>
      </c>
      <c r="G125">
        <v>22</v>
      </c>
      <c r="H125">
        <v>0</v>
      </c>
      <c r="I125">
        <v>155</v>
      </c>
      <c r="J125">
        <v>0.87</v>
      </c>
    </row>
    <row r="126" spans="1:10" x14ac:dyDescent="0.25">
      <c r="A126">
        <v>69</v>
      </c>
      <c r="B126" t="s">
        <v>126</v>
      </c>
      <c r="C126" t="s">
        <v>11</v>
      </c>
      <c r="D126" s="1" t="s">
        <v>139</v>
      </c>
      <c r="E126">
        <v>8</v>
      </c>
      <c r="F126">
        <v>0</v>
      </c>
      <c r="G126">
        <v>22</v>
      </c>
      <c r="H126">
        <v>0</v>
      </c>
      <c r="I126">
        <v>146</v>
      </c>
      <c r="J126">
        <v>0.89800000000000002</v>
      </c>
    </row>
    <row r="127" spans="1:10" x14ac:dyDescent="0.25">
      <c r="A127">
        <v>69</v>
      </c>
      <c r="B127" t="s">
        <v>126</v>
      </c>
      <c r="C127" t="s">
        <v>13</v>
      </c>
      <c r="D127" s="1" t="s">
        <v>140</v>
      </c>
      <c r="E127">
        <v>1</v>
      </c>
      <c r="F127">
        <v>9</v>
      </c>
      <c r="G127">
        <v>22</v>
      </c>
      <c r="H127">
        <v>0</v>
      </c>
      <c r="I127">
        <v>149</v>
      </c>
      <c r="J127">
        <v>0.878</v>
      </c>
    </row>
    <row r="128" spans="1:10" x14ac:dyDescent="0.25">
      <c r="A128">
        <v>70</v>
      </c>
      <c r="B128" t="s">
        <v>126</v>
      </c>
      <c r="C128" t="s">
        <v>11</v>
      </c>
      <c r="D128" s="1" t="s">
        <v>141</v>
      </c>
      <c r="E128">
        <v>8</v>
      </c>
      <c r="F128">
        <v>0</v>
      </c>
      <c r="G128">
        <v>22</v>
      </c>
      <c r="H128">
        <v>0</v>
      </c>
      <c r="I128">
        <v>163</v>
      </c>
      <c r="J128">
        <v>0.84</v>
      </c>
    </row>
    <row r="129" spans="1:10" x14ac:dyDescent="0.25">
      <c r="A129">
        <v>70</v>
      </c>
      <c r="B129" t="s">
        <v>126</v>
      </c>
      <c r="C129" t="s">
        <v>13</v>
      </c>
      <c r="D129" s="1" t="s">
        <v>142</v>
      </c>
      <c r="E129">
        <v>3</v>
      </c>
      <c r="F129">
        <v>9</v>
      </c>
      <c r="G129">
        <v>23</v>
      </c>
      <c r="H129">
        <v>0</v>
      </c>
      <c r="I129">
        <v>172</v>
      </c>
      <c r="J129">
        <v>0.878</v>
      </c>
    </row>
    <row r="130" spans="1:10" x14ac:dyDescent="0.25">
      <c r="A130">
        <v>71</v>
      </c>
      <c r="B130" t="s">
        <v>126</v>
      </c>
      <c r="C130" t="s">
        <v>11</v>
      </c>
      <c r="D130" s="1" t="s">
        <v>143</v>
      </c>
      <c r="E130">
        <v>8</v>
      </c>
      <c r="F130">
        <v>0</v>
      </c>
      <c r="G130">
        <v>21</v>
      </c>
      <c r="H130">
        <v>0</v>
      </c>
      <c r="I130">
        <v>164</v>
      </c>
      <c r="J130">
        <v>0.93799999999999994</v>
      </c>
    </row>
    <row r="131" spans="1:10" x14ac:dyDescent="0.25">
      <c r="A131">
        <v>71</v>
      </c>
      <c r="B131" t="s">
        <v>126</v>
      </c>
      <c r="C131" t="s">
        <v>13</v>
      </c>
      <c r="D131" s="1" t="s">
        <v>144</v>
      </c>
      <c r="E131">
        <v>1</v>
      </c>
      <c r="F131">
        <v>10</v>
      </c>
      <c r="G131">
        <v>21</v>
      </c>
      <c r="H131">
        <v>0</v>
      </c>
      <c r="I131">
        <v>179</v>
      </c>
      <c r="J131">
        <v>0.89500000000000002</v>
      </c>
    </row>
    <row r="132" spans="1:10" x14ac:dyDescent="0.25">
      <c r="A132">
        <v>72</v>
      </c>
      <c r="B132" t="s">
        <v>126</v>
      </c>
      <c r="C132" t="s">
        <v>11</v>
      </c>
      <c r="D132" s="1" t="s">
        <v>145</v>
      </c>
      <c r="E132">
        <v>8</v>
      </c>
      <c r="F132">
        <v>0</v>
      </c>
      <c r="G132">
        <v>19</v>
      </c>
      <c r="H132">
        <v>0</v>
      </c>
      <c r="I132">
        <v>157</v>
      </c>
      <c r="J132">
        <v>0.80100000000000005</v>
      </c>
    </row>
    <row r="133" spans="1:10" x14ac:dyDescent="0.25">
      <c r="A133">
        <v>72</v>
      </c>
      <c r="B133" t="s">
        <v>126</v>
      </c>
      <c r="C133" t="s">
        <v>13</v>
      </c>
      <c r="D133" s="1" t="s">
        <v>146</v>
      </c>
      <c r="E133">
        <v>0</v>
      </c>
      <c r="F133">
        <v>9</v>
      </c>
      <c r="G133">
        <v>19</v>
      </c>
      <c r="H133">
        <v>0</v>
      </c>
      <c r="I133">
        <v>169</v>
      </c>
      <c r="J133">
        <v>0.872</v>
      </c>
    </row>
    <row r="134" spans="1:10" x14ac:dyDescent="0.25">
      <c r="A134">
        <v>73</v>
      </c>
      <c r="B134" t="s">
        <v>126</v>
      </c>
      <c r="C134" t="s">
        <v>11</v>
      </c>
      <c r="D134" s="1" t="s">
        <v>147</v>
      </c>
      <c r="E134">
        <v>10</v>
      </c>
      <c r="F134">
        <v>0</v>
      </c>
      <c r="G134">
        <v>17</v>
      </c>
      <c r="H134">
        <v>0</v>
      </c>
      <c r="I134">
        <v>152</v>
      </c>
      <c r="J134">
        <v>0.92500000000000004</v>
      </c>
    </row>
    <row r="135" spans="1:10" x14ac:dyDescent="0.25">
      <c r="A135">
        <v>73</v>
      </c>
      <c r="B135" t="s">
        <v>126</v>
      </c>
      <c r="C135" t="s">
        <v>13</v>
      </c>
      <c r="D135" s="1" t="s">
        <v>148</v>
      </c>
      <c r="E135">
        <v>4</v>
      </c>
      <c r="F135">
        <v>11</v>
      </c>
      <c r="G135">
        <v>18</v>
      </c>
      <c r="H135">
        <v>0</v>
      </c>
      <c r="I135">
        <v>162</v>
      </c>
      <c r="J135">
        <v>0.751</v>
      </c>
    </row>
    <row r="136" spans="1:10" x14ac:dyDescent="0.25">
      <c r="A136">
        <v>74</v>
      </c>
      <c r="B136" t="s">
        <v>126</v>
      </c>
      <c r="C136" t="s">
        <v>11</v>
      </c>
      <c r="D136" s="1" t="s">
        <v>149</v>
      </c>
      <c r="E136">
        <v>9</v>
      </c>
      <c r="F136">
        <v>0</v>
      </c>
      <c r="G136">
        <v>20</v>
      </c>
      <c r="H136">
        <v>0</v>
      </c>
      <c r="I136">
        <v>165</v>
      </c>
      <c r="J136">
        <v>0.90900000000000003</v>
      </c>
    </row>
    <row r="137" spans="1:10" x14ac:dyDescent="0.25">
      <c r="A137">
        <v>74</v>
      </c>
      <c r="B137" t="s">
        <v>126</v>
      </c>
      <c r="C137" t="s">
        <v>13</v>
      </c>
      <c r="D137" s="1" t="s">
        <v>150</v>
      </c>
      <c r="E137">
        <v>2</v>
      </c>
      <c r="F137">
        <v>9</v>
      </c>
      <c r="G137">
        <v>21</v>
      </c>
      <c r="H137">
        <v>0</v>
      </c>
      <c r="I137">
        <v>165</v>
      </c>
      <c r="J137">
        <v>0.83299999999999996</v>
      </c>
    </row>
    <row r="138" spans="1:10" x14ac:dyDescent="0.25">
      <c r="A138">
        <v>75</v>
      </c>
      <c r="B138" t="s">
        <v>126</v>
      </c>
      <c r="C138" t="s">
        <v>11</v>
      </c>
      <c r="D138" s="1" t="s">
        <v>151</v>
      </c>
      <c r="E138">
        <v>10</v>
      </c>
      <c r="F138">
        <v>0</v>
      </c>
      <c r="G138">
        <v>22</v>
      </c>
      <c r="H138">
        <v>0</v>
      </c>
      <c r="I138">
        <v>173</v>
      </c>
      <c r="J138">
        <v>0.77700000000000002</v>
      </c>
    </row>
    <row r="139" spans="1:10" x14ac:dyDescent="0.25">
      <c r="A139">
        <v>75</v>
      </c>
      <c r="B139" t="s">
        <v>126</v>
      </c>
      <c r="C139" t="s">
        <v>13</v>
      </c>
      <c r="D139" s="1" t="s">
        <v>152</v>
      </c>
      <c r="E139">
        <v>1</v>
      </c>
      <c r="F139">
        <v>10</v>
      </c>
      <c r="G139">
        <v>22</v>
      </c>
      <c r="H139">
        <v>0</v>
      </c>
      <c r="I139">
        <v>191</v>
      </c>
      <c r="J139">
        <v>0.88</v>
      </c>
    </row>
    <row r="140" spans="1:10" x14ac:dyDescent="0.25">
      <c r="A140">
        <v>76</v>
      </c>
      <c r="B140" t="s">
        <v>126</v>
      </c>
      <c r="C140" t="s">
        <v>11</v>
      </c>
      <c r="D140" s="1" t="s">
        <v>153</v>
      </c>
      <c r="E140">
        <v>11</v>
      </c>
      <c r="F140">
        <v>0</v>
      </c>
      <c r="G140">
        <v>23</v>
      </c>
      <c r="H140">
        <v>0</v>
      </c>
      <c r="I140">
        <v>168</v>
      </c>
      <c r="J140">
        <v>0.90600000000000003</v>
      </c>
    </row>
    <row r="141" spans="1:10" x14ac:dyDescent="0.25">
      <c r="A141">
        <v>76</v>
      </c>
      <c r="B141" t="s">
        <v>126</v>
      </c>
      <c r="C141" t="s">
        <v>13</v>
      </c>
      <c r="D141" s="1" t="s">
        <v>154</v>
      </c>
      <c r="E141">
        <v>2</v>
      </c>
      <c r="F141">
        <v>11</v>
      </c>
      <c r="G141">
        <v>24</v>
      </c>
      <c r="H141">
        <v>0</v>
      </c>
      <c r="I141">
        <v>185</v>
      </c>
      <c r="J141">
        <v>0.79400000000000004</v>
      </c>
    </row>
    <row r="142" spans="1:10" x14ac:dyDescent="0.25">
      <c r="A142">
        <v>77</v>
      </c>
      <c r="B142" t="s">
        <v>126</v>
      </c>
      <c r="C142" t="s">
        <v>11</v>
      </c>
      <c r="D142" s="1" t="s">
        <v>155</v>
      </c>
      <c r="E142">
        <v>10</v>
      </c>
      <c r="F142">
        <v>1</v>
      </c>
      <c r="G142">
        <v>17</v>
      </c>
      <c r="H142">
        <v>0</v>
      </c>
      <c r="I142">
        <v>156</v>
      </c>
      <c r="J142">
        <v>0.83799999999999997</v>
      </c>
    </row>
    <row r="143" spans="1:10" x14ac:dyDescent="0.25">
      <c r="A143">
        <v>77</v>
      </c>
      <c r="B143" t="s">
        <v>126</v>
      </c>
      <c r="C143" t="s">
        <v>13</v>
      </c>
      <c r="D143" s="1" t="s">
        <v>156</v>
      </c>
      <c r="E143">
        <v>3</v>
      </c>
      <c r="F143">
        <v>11</v>
      </c>
      <c r="G143">
        <v>17</v>
      </c>
      <c r="H143">
        <v>0</v>
      </c>
      <c r="I143">
        <v>174</v>
      </c>
      <c r="J143">
        <v>0.80300000000000005</v>
      </c>
    </row>
    <row r="144" spans="1:10" x14ac:dyDescent="0.25">
      <c r="A144">
        <v>78</v>
      </c>
      <c r="B144" t="s">
        <v>126</v>
      </c>
      <c r="C144" t="s">
        <v>11</v>
      </c>
      <c r="D144" s="1" t="s">
        <v>157</v>
      </c>
      <c r="E144">
        <v>13</v>
      </c>
      <c r="F144">
        <v>0</v>
      </c>
      <c r="G144">
        <v>19</v>
      </c>
      <c r="H144">
        <v>0</v>
      </c>
      <c r="I144">
        <v>162</v>
      </c>
      <c r="J144">
        <v>0.84699999999999998</v>
      </c>
    </row>
    <row r="145" spans="1:10" x14ac:dyDescent="0.25">
      <c r="A145">
        <v>78</v>
      </c>
      <c r="B145" t="s">
        <v>126</v>
      </c>
      <c r="C145" t="s">
        <v>13</v>
      </c>
      <c r="D145" s="1" t="s">
        <v>158</v>
      </c>
      <c r="E145">
        <v>3</v>
      </c>
      <c r="F145">
        <v>10</v>
      </c>
      <c r="G145">
        <v>19</v>
      </c>
      <c r="H145">
        <v>0</v>
      </c>
      <c r="I145">
        <v>165</v>
      </c>
      <c r="J145">
        <v>0.80200000000000005</v>
      </c>
    </row>
    <row r="146" spans="1:10" x14ac:dyDescent="0.25">
      <c r="A146">
        <v>79</v>
      </c>
      <c r="B146" t="s">
        <v>126</v>
      </c>
      <c r="C146" t="s">
        <v>11</v>
      </c>
      <c r="D146" s="1" t="s">
        <v>159</v>
      </c>
      <c r="E146">
        <v>10</v>
      </c>
      <c r="F146">
        <v>0</v>
      </c>
      <c r="G146">
        <v>22</v>
      </c>
      <c r="H146">
        <v>0</v>
      </c>
      <c r="I146">
        <v>177</v>
      </c>
      <c r="J146">
        <v>0.85899999999999999</v>
      </c>
    </row>
    <row r="147" spans="1:10" x14ac:dyDescent="0.25">
      <c r="A147">
        <v>79</v>
      </c>
      <c r="B147" t="s">
        <v>126</v>
      </c>
      <c r="C147" t="s">
        <v>13</v>
      </c>
      <c r="D147" s="1" t="s">
        <v>160</v>
      </c>
      <c r="E147">
        <v>2</v>
      </c>
      <c r="F147">
        <v>9</v>
      </c>
      <c r="G147">
        <v>24</v>
      </c>
      <c r="H147">
        <v>0</v>
      </c>
      <c r="I147">
        <v>188</v>
      </c>
      <c r="J147">
        <v>0.80700000000000005</v>
      </c>
    </row>
    <row r="148" spans="1:10" x14ac:dyDescent="0.25">
      <c r="A148">
        <v>80</v>
      </c>
      <c r="B148" t="s">
        <v>126</v>
      </c>
      <c r="C148" t="s">
        <v>11</v>
      </c>
      <c r="D148" s="1" t="s">
        <v>161</v>
      </c>
      <c r="E148">
        <v>8</v>
      </c>
      <c r="F148">
        <v>0</v>
      </c>
      <c r="G148">
        <v>19</v>
      </c>
      <c r="H148">
        <v>0</v>
      </c>
      <c r="I148">
        <v>171</v>
      </c>
      <c r="J148">
        <v>0.85599999999999998</v>
      </c>
    </row>
    <row r="149" spans="1:10" x14ac:dyDescent="0.25">
      <c r="A149">
        <v>80</v>
      </c>
      <c r="B149" t="s">
        <v>126</v>
      </c>
      <c r="C149" t="s">
        <v>13</v>
      </c>
      <c r="D149" s="1" t="s">
        <v>162</v>
      </c>
      <c r="E149">
        <v>1</v>
      </c>
      <c r="F149">
        <v>9</v>
      </c>
      <c r="G149">
        <v>21</v>
      </c>
      <c r="H149">
        <v>0</v>
      </c>
      <c r="I149">
        <v>190</v>
      </c>
      <c r="J149">
        <v>0.89700000000000002</v>
      </c>
    </row>
    <row r="150" spans="1:10" x14ac:dyDescent="0.25">
      <c r="A150">
        <v>81</v>
      </c>
      <c r="B150" t="s">
        <v>126</v>
      </c>
      <c r="C150" t="s">
        <v>11</v>
      </c>
      <c r="D150" s="1" t="s">
        <v>163</v>
      </c>
      <c r="E150">
        <v>9</v>
      </c>
      <c r="F150">
        <v>1</v>
      </c>
      <c r="G150">
        <v>19</v>
      </c>
      <c r="H150">
        <v>0</v>
      </c>
      <c r="I150">
        <v>156</v>
      </c>
      <c r="J150">
        <v>0.73499999999999999</v>
      </c>
    </row>
    <row r="151" spans="1:10" x14ac:dyDescent="0.25">
      <c r="A151">
        <v>81</v>
      </c>
      <c r="B151" t="s">
        <v>126</v>
      </c>
      <c r="C151" t="s">
        <v>13</v>
      </c>
      <c r="D151" s="1" t="s">
        <v>164</v>
      </c>
      <c r="E151">
        <v>2</v>
      </c>
      <c r="F151">
        <v>8</v>
      </c>
      <c r="G151">
        <v>19</v>
      </c>
      <c r="H151">
        <v>0</v>
      </c>
      <c r="I151">
        <v>147</v>
      </c>
      <c r="J151">
        <v>0.85</v>
      </c>
    </row>
    <row r="152" spans="1:10" x14ac:dyDescent="0.25">
      <c r="A152">
        <v>82</v>
      </c>
      <c r="B152" t="s">
        <v>126</v>
      </c>
      <c r="C152" t="s">
        <v>11</v>
      </c>
      <c r="D152" s="1" t="s">
        <v>165</v>
      </c>
      <c r="E152">
        <v>8</v>
      </c>
      <c r="F152">
        <v>1</v>
      </c>
      <c r="G152">
        <v>23</v>
      </c>
      <c r="H152">
        <v>0</v>
      </c>
      <c r="I152">
        <v>171</v>
      </c>
      <c r="J152">
        <v>0.94299999999999995</v>
      </c>
    </row>
    <row r="153" spans="1:10" x14ac:dyDescent="0.25">
      <c r="A153">
        <v>82</v>
      </c>
      <c r="B153" t="s">
        <v>126</v>
      </c>
      <c r="C153" t="s">
        <v>13</v>
      </c>
      <c r="D153" s="1" t="s">
        <v>166</v>
      </c>
      <c r="E153">
        <v>3</v>
      </c>
      <c r="F153">
        <v>8</v>
      </c>
      <c r="G153">
        <v>23</v>
      </c>
      <c r="H153">
        <v>0</v>
      </c>
      <c r="I153">
        <v>167</v>
      </c>
      <c r="J153">
        <v>0.88400000000000001</v>
      </c>
    </row>
    <row r="154" spans="1:10" x14ac:dyDescent="0.25">
      <c r="A154">
        <v>83</v>
      </c>
      <c r="B154" t="s">
        <v>126</v>
      </c>
      <c r="C154" t="s">
        <v>11</v>
      </c>
      <c r="D154" s="1" t="s">
        <v>167</v>
      </c>
      <c r="E154">
        <v>10</v>
      </c>
      <c r="F154">
        <v>0</v>
      </c>
      <c r="G154">
        <v>17</v>
      </c>
      <c r="H154">
        <v>0</v>
      </c>
      <c r="I154">
        <v>153</v>
      </c>
      <c r="J154">
        <v>0.89600000000000002</v>
      </c>
    </row>
    <row r="155" spans="1:10" x14ac:dyDescent="0.25">
      <c r="A155">
        <v>83</v>
      </c>
      <c r="B155" t="s">
        <v>126</v>
      </c>
      <c r="C155" t="s">
        <v>13</v>
      </c>
      <c r="D155" s="1" t="s">
        <v>168</v>
      </c>
      <c r="E155">
        <v>1</v>
      </c>
      <c r="F155">
        <v>10</v>
      </c>
      <c r="G155">
        <v>17</v>
      </c>
      <c r="H155">
        <v>0</v>
      </c>
      <c r="I155">
        <v>160</v>
      </c>
      <c r="J155">
        <v>0.83299999999999996</v>
      </c>
    </row>
    <row r="156" spans="1:10" x14ac:dyDescent="0.25">
      <c r="A156">
        <v>84</v>
      </c>
      <c r="B156" t="s">
        <v>126</v>
      </c>
      <c r="C156" t="s">
        <v>11</v>
      </c>
      <c r="D156" s="1" t="s">
        <v>169</v>
      </c>
      <c r="E156">
        <v>8</v>
      </c>
      <c r="F156">
        <v>0</v>
      </c>
      <c r="G156">
        <v>22</v>
      </c>
      <c r="H156">
        <v>0</v>
      </c>
      <c r="I156">
        <v>156</v>
      </c>
      <c r="J156">
        <v>0.88</v>
      </c>
    </row>
    <row r="157" spans="1:10" x14ac:dyDescent="0.25">
      <c r="A157">
        <v>84</v>
      </c>
      <c r="B157" t="s">
        <v>126</v>
      </c>
      <c r="C157" t="s">
        <v>13</v>
      </c>
      <c r="D157" s="1" t="s">
        <v>170</v>
      </c>
      <c r="E157">
        <v>3</v>
      </c>
      <c r="F157">
        <v>8</v>
      </c>
      <c r="G157">
        <v>21</v>
      </c>
      <c r="H157">
        <v>0</v>
      </c>
      <c r="I157">
        <v>160</v>
      </c>
      <c r="J157">
        <v>0.871</v>
      </c>
    </row>
    <row r="158" spans="1:10" x14ac:dyDescent="0.25">
      <c r="A158">
        <v>85</v>
      </c>
      <c r="B158" t="s">
        <v>126</v>
      </c>
      <c r="C158" t="s">
        <v>11</v>
      </c>
      <c r="D158" s="1" t="s">
        <v>171</v>
      </c>
      <c r="E158">
        <v>10</v>
      </c>
      <c r="F158">
        <v>0</v>
      </c>
      <c r="G158">
        <v>22</v>
      </c>
      <c r="H158">
        <v>0</v>
      </c>
      <c r="I158">
        <v>166</v>
      </c>
      <c r="J158">
        <v>0.85799999999999998</v>
      </c>
    </row>
    <row r="159" spans="1:10" x14ac:dyDescent="0.25">
      <c r="A159">
        <v>85</v>
      </c>
      <c r="B159" t="s">
        <v>126</v>
      </c>
      <c r="C159" t="s">
        <v>13</v>
      </c>
      <c r="D159" s="1" t="s">
        <v>172</v>
      </c>
      <c r="E159">
        <v>0</v>
      </c>
      <c r="F159">
        <v>10</v>
      </c>
      <c r="G159">
        <v>23</v>
      </c>
      <c r="H159">
        <v>0</v>
      </c>
      <c r="I159">
        <v>167</v>
      </c>
      <c r="J159">
        <v>0.89300000000000002</v>
      </c>
    </row>
    <row r="160" spans="1:10" x14ac:dyDescent="0.25">
      <c r="A160">
        <v>86</v>
      </c>
      <c r="B160" t="s">
        <v>126</v>
      </c>
      <c r="C160" t="s">
        <v>11</v>
      </c>
      <c r="D160" s="1" t="s">
        <v>173</v>
      </c>
      <c r="E160">
        <v>9</v>
      </c>
      <c r="F160">
        <v>0</v>
      </c>
      <c r="G160">
        <v>21</v>
      </c>
      <c r="H160">
        <v>0</v>
      </c>
      <c r="I160">
        <v>172</v>
      </c>
      <c r="J160">
        <v>0.89200000000000002</v>
      </c>
    </row>
    <row r="161" spans="1:10" x14ac:dyDescent="0.25">
      <c r="A161">
        <v>86</v>
      </c>
      <c r="B161" t="s">
        <v>126</v>
      </c>
      <c r="C161" t="s">
        <v>13</v>
      </c>
      <c r="D161" s="1" t="s">
        <v>174</v>
      </c>
      <c r="E161">
        <v>0</v>
      </c>
      <c r="F161">
        <v>9</v>
      </c>
      <c r="G161">
        <v>20</v>
      </c>
      <c r="H161">
        <v>0</v>
      </c>
      <c r="I161">
        <v>172</v>
      </c>
      <c r="J161">
        <v>0.84299999999999997</v>
      </c>
    </row>
    <row r="162" spans="1:10" x14ac:dyDescent="0.25">
      <c r="A162">
        <v>87</v>
      </c>
      <c r="B162" t="s">
        <v>126</v>
      </c>
      <c r="C162" t="s">
        <v>11</v>
      </c>
      <c r="D162" s="1" t="s">
        <v>175</v>
      </c>
      <c r="E162">
        <v>8</v>
      </c>
      <c r="F162">
        <v>0</v>
      </c>
      <c r="G162">
        <v>24</v>
      </c>
      <c r="H162">
        <v>0</v>
      </c>
      <c r="I162">
        <v>159</v>
      </c>
      <c r="J162">
        <v>0.90900000000000003</v>
      </c>
    </row>
    <row r="163" spans="1:10" x14ac:dyDescent="0.25">
      <c r="A163">
        <v>87</v>
      </c>
      <c r="B163" t="s">
        <v>126</v>
      </c>
      <c r="C163" t="s">
        <v>13</v>
      </c>
      <c r="D163" s="1" t="s">
        <v>176</v>
      </c>
      <c r="E163">
        <v>1</v>
      </c>
      <c r="F163">
        <v>10</v>
      </c>
      <c r="G163">
        <v>25</v>
      </c>
      <c r="H163">
        <v>0</v>
      </c>
      <c r="I163">
        <v>172</v>
      </c>
      <c r="J163">
        <v>0.88500000000000001</v>
      </c>
    </row>
    <row r="164" spans="1:10" x14ac:dyDescent="0.25">
      <c r="A164">
        <v>88</v>
      </c>
      <c r="B164" t="s">
        <v>126</v>
      </c>
      <c r="C164" t="s">
        <v>11</v>
      </c>
      <c r="D164" s="1" t="s">
        <v>177</v>
      </c>
      <c r="E164">
        <v>9</v>
      </c>
      <c r="F164">
        <v>0</v>
      </c>
      <c r="G164">
        <v>24</v>
      </c>
      <c r="H164">
        <v>0</v>
      </c>
      <c r="I164">
        <v>165</v>
      </c>
      <c r="J164">
        <v>0.88300000000000001</v>
      </c>
    </row>
    <row r="165" spans="1:10" x14ac:dyDescent="0.25">
      <c r="A165">
        <v>88</v>
      </c>
      <c r="B165" t="s">
        <v>126</v>
      </c>
      <c r="C165" t="s">
        <v>13</v>
      </c>
      <c r="D165" s="1" t="s">
        <v>178</v>
      </c>
      <c r="E165">
        <v>2</v>
      </c>
      <c r="F165">
        <v>11</v>
      </c>
      <c r="G165">
        <v>26</v>
      </c>
      <c r="H165">
        <v>0</v>
      </c>
      <c r="I165">
        <v>185</v>
      </c>
      <c r="J165">
        <v>0.85199999999999998</v>
      </c>
    </row>
    <row r="166" spans="1:10" x14ac:dyDescent="0.25">
      <c r="A166">
        <v>89</v>
      </c>
      <c r="B166" t="s">
        <v>126</v>
      </c>
      <c r="C166" t="s">
        <v>11</v>
      </c>
      <c r="D166" s="1" t="s">
        <v>179</v>
      </c>
      <c r="E166">
        <v>8</v>
      </c>
      <c r="F166">
        <v>0</v>
      </c>
      <c r="G166">
        <v>24</v>
      </c>
      <c r="H166">
        <v>0</v>
      </c>
      <c r="I166">
        <v>169</v>
      </c>
      <c r="J166">
        <v>0.89900000000000002</v>
      </c>
    </row>
    <row r="167" spans="1:10" x14ac:dyDescent="0.25">
      <c r="A167">
        <v>89</v>
      </c>
      <c r="B167" t="s">
        <v>126</v>
      </c>
      <c r="C167" t="s">
        <v>13</v>
      </c>
      <c r="D167" s="1" t="s">
        <v>180</v>
      </c>
      <c r="E167">
        <v>1</v>
      </c>
      <c r="F167">
        <v>9</v>
      </c>
      <c r="G167">
        <v>25</v>
      </c>
      <c r="H167">
        <v>0</v>
      </c>
      <c r="I167">
        <v>188</v>
      </c>
      <c r="J167">
        <v>0.9</v>
      </c>
    </row>
    <row r="168" spans="1:10" ht="409.5" x14ac:dyDescent="0.25">
      <c r="A168">
        <v>90</v>
      </c>
      <c r="B168" t="s">
        <v>126</v>
      </c>
      <c r="C168" t="s">
        <v>11</v>
      </c>
      <c r="D168" s="1" t="s">
        <v>181</v>
      </c>
      <c r="E168">
        <v>9</v>
      </c>
      <c r="F168">
        <v>0</v>
      </c>
      <c r="G168">
        <v>22</v>
      </c>
      <c r="H168">
        <v>0</v>
      </c>
      <c r="I168">
        <v>160</v>
      </c>
      <c r="J168">
        <v>0.83099999999999996</v>
      </c>
    </row>
    <row r="169" spans="1:10" ht="409.5" x14ac:dyDescent="0.25">
      <c r="A169">
        <v>90</v>
      </c>
      <c r="B169" t="s">
        <v>126</v>
      </c>
      <c r="C169" t="s">
        <v>13</v>
      </c>
      <c r="D169" s="1" t="s">
        <v>182</v>
      </c>
      <c r="E169">
        <v>3</v>
      </c>
      <c r="F169">
        <v>8</v>
      </c>
      <c r="G169">
        <v>22</v>
      </c>
      <c r="H169">
        <v>0</v>
      </c>
      <c r="I169">
        <v>170</v>
      </c>
      <c r="J169">
        <v>0.81499999999999995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3A93-ECBA-4D52-9812-CCB80869D583}">
  <dimension ref="A1:H85"/>
  <sheetViews>
    <sheetView topLeftCell="A3" workbookViewId="0">
      <selection activeCell="H3" sqref="H3"/>
    </sheetView>
  </sheetViews>
  <sheetFormatPr defaultRowHeight="18" x14ac:dyDescent="0.25"/>
  <sheetData>
    <row r="1" spans="1:8" x14ac:dyDescent="0.25">
      <c r="A1" t="s">
        <v>0</v>
      </c>
      <c r="B1" t="s">
        <v>1</v>
      </c>
      <c r="C1" t="s">
        <v>3</v>
      </c>
      <c r="D1" t="s">
        <v>4</v>
      </c>
      <c r="E1" t="s">
        <v>5</v>
      </c>
      <c r="F1" t="s">
        <v>6</v>
      </c>
      <c r="G1" t="s">
        <v>7</v>
      </c>
      <c r="H1" t="s">
        <v>8</v>
      </c>
    </row>
    <row r="2" spans="1:8" ht="409.5" x14ac:dyDescent="0.25">
      <c r="A2">
        <v>7</v>
      </c>
      <c r="B2" t="s">
        <v>10</v>
      </c>
      <c r="C2" s="1" t="s">
        <v>646</v>
      </c>
      <c r="D2">
        <v>3</v>
      </c>
      <c r="E2">
        <v>2</v>
      </c>
      <c r="F2">
        <v>13</v>
      </c>
      <c r="G2">
        <v>0</v>
      </c>
      <c r="H2">
        <f>IF(LEN(TRIM(C2))=0,0,LEN(TRIM(C2))-LEN(SUBSTITUTE(TRIM(C2)," ",""))+7)</f>
        <v>130</v>
      </c>
    </row>
    <row r="3" spans="1:8" ht="409.5" x14ac:dyDescent="0.25">
      <c r="A3">
        <v>8</v>
      </c>
      <c r="B3" t="s">
        <v>10</v>
      </c>
      <c r="C3" s="1" t="s">
        <v>645</v>
      </c>
      <c r="D3">
        <v>2</v>
      </c>
      <c r="E3">
        <v>3</v>
      </c>
      <c r="F3">
        <v>11</v>
      </c>
      <c r="G3">
        <v>0</v>
      </c>
      <c r="H3">
        <f t="shared" ref="H3:H66" si="0">IF(LEN(TRIM(C3))=0,0,LEN(TRIM(C3))-LEN(SUBSTITUTE(TRIM(C3)," ",""))+7)</f>
        <v>129</v>
      </c>
    </row>
    <row r="4" spans="1:8" ht="409.5" x14ac:dyDescent="0.25">
      <c r="A4">
        <v>9</v>
      </c>
      <c r="B4" t="s">
        <v>10</v>
      </c>
      <c r="C4" s="1" t="s">
        <v>644</v>
      </c>
      <c r="D4">
        <v>3</v>
      </c>
      <c r="E4">
        <v>3</v>
      </c>
      <c r="F4">
        <v>14</v>
      </c>
      <c r="G4">
        <v>0</v>
      </c>
      <c r="H4">
        <f t="shared" si="0"/>
        <v>141</v>
      </c>
    </row>
    <row r="5" spans="1:8" ht="409.5" x14ac:dyDescent="0.25">
      <c r="A5">
        <v>10</v>
      </c>
      <c r="B5" t="s">
        <v>10</v>
      </c>
      <c r="C5" s="1" t="s">
        <v>643</v>
      </c>
      <c r="D5">
        <v>1</v>
      </c>
      <c r="E5">
        <v>5</v>
      </c>
      <c r="F5">
        <v>13</v>
      </c>
      <c r="G5">
        <v>0</v>
      </c>
      <c r="H5">
        <f t="shared" si="0"/>
        <v>135</v>
      </c>
    </row>
    <row r="6" spans="1:8" ht="409.5" x14ac:dyDescent="0.25">
      <c r="A6">
        <v>11</v>
      </c>
      <c r="B6" t="s">
        <v>10</v>
      </c>
      <c r="C6" s="1" t="s">
        <v>642</v>
      </c>
      <c r="D6">
        <v>2</v>
      </c>
      <c r="E6">
        <v>3</v>
      </c>
      <c r="F6">
        <v>15</v>
      </c>
      <c r="G6">
        <v>0</v>
      </c>
      <c r="H6">
        <f t="shared" si="0"/>
        <v>146</v>
      </c>
    </row>
    <row r="7" spans="1:8" ht="409.5" x14ac:dyDescent="0.25">
      <c r="A7">
        <v>12</v>
      </c>
      <c r="B7" t="s">
        <v>10</v>
      </c>
      <c r="C7" s="1" t="s">
        <v>641</v>
      </c>
      <c r="D7">
        <v>2</v>
      </c>
      <c r="E7">
        <v>3</v>
      </c>
      <c r="F7">
        <v>14</v>
      </c>
      <c r="G7">
        <v>0</v>
      </c>
      <c r="H7">
        <f t="shared" si="0"/>
        <v>151</v>
      </c>
    </row>
    <row r="8" spans="1:8" ht="409.5" x14ac:dyDescent="0.25">
      <c r="A8">
        <v>13</v>
      </c>
      <c r="B8" t="s">
        <v>10</v>
      </c>
      <c r="C8" s="1" t="s">
        <v>640</v>
      </c>
      <c r="D8">
        <v>1</v>
      </c>
      <c r="E8">
        <v>4</v>
      </c>
      <c r="F8">
        <v>13</v>
      </c>
      <c r="G8">
        <v>0</v>
      </c>
      <c r="H8">
        <f t="shared" si="0"/>
        <v>135</v>
      </c>
    </row>
    <row r="9" spans="1:8" ht="409.5" x14ac:dyDescent="0.25">
      <c r="A9">
        <v>14</v>
      </c>
      <c r="B9" t="s">
        <v>10</v>
      </c>
      <c r="C9" s="1" t="s">
        <v>639</v>
      </c>
      <c r="D9">
        <v>2</v>
      </c>
      <c r="E9">
        <v>4</v>
      </c>
      <c r="F9">
        <v>12</v>
      </c>
      <c r="G9">
        <v>0</v>
      </c>
      <c r="H9">
        <f t="shared" si="0"/>
        <v>134</v>
      </c>
    </row>
    <row r="10" spans="1:8" ht="409.5" x14ac:dyDescent="0.25">
      <c r="A10">
        <v>15</v>
      </c>
      <c r="B10" t="s">
        <v>10</v>
      </c>
      <c r="C10" s="1" t="s">
        <v>638</v>
      </c>
      <c r="D10">
        <v>1</v>
      </c>
      <c r="E10">
        <v>2</v>
      </c>
      <c r="F10">
        <v>13</v>
      </c>
      <c r="G10">
        <v>0</v>
      </c>
      <c r="H10">
        <f t="shared" si="0"/>
        <v>137</v>
      </c>
    </row>
    <row r="11" spans="1:8" ht="409.5" x14ac:dyDescent="0.25">
      <c r="A11">
        <v>16</v>
      </c>
      <c r="B11" t="s">
        <v>10</v>
      </c>
      <c r="C11" s="1" t="s">
        <v>637</v>
      </c>
      <c r="D11">
        <v>2</v>
      </c>
      <c r="E11">
        <v>3</v>
      </c>
      <c r="F11">
        <v>15</v>
      </c>
      <c r="G11">
        <v>0</v>
      </c>
      <c r="H11">
        <f t="shared" si="0"/>
        <v>143</v>
      </c>
    </row>
    <row r="12" spans="1:8" ht="409.5" x14ac:dyDescent="0.25">
      <c r="A12">
        <v>17</v>
      </c>
      <c r="B12" t="s">
        <v>10</v>
      </c>
      <c r="C12" s="1" t="s">
        <v>636</v>
      </c>
      <c r="D12">
        <v>1</v>
      </c>
      <c r="E12">
        <v>3</v>
      </c>
      <c r="F12">
        <v>13</v>
      </c>
      <c r="G12">
        <v>0</v>
      </c>
      <c r="H12">
        <f t="shared" si="0"/>
        <v>138</v>
      </c>
    </row>
    <row r="13" spans="1:8" ht="409.5" x14ac:dyDescent="0.25">
      <c r="A13">
        <v>18</v>
      </c>
      <c r="B13" t="s">
        <v>10</v>
      </c>
      <c r="C13" s="1" t="s">
        <v>635</v>
      </c>
      <c r="D13">
        <v>2</v>
      </c>
      <c r="E13">
        <v>4</v>
      </c>
      <c r="F13">
        <v>16</v>
      </c>
      <c r="G13">
        <v>0</v>
      </c>
      <c r="H13">
        <f t="shared" si="0"/>
        <v>151</v>
      </c>
    </row>
    <row r="14" spans="1:8" ht="409.5" x14ac:dyDescent="0.25">
      <c r="A14">
        <v>19</v>
      </c>
      <c r="B14" t="s">
        <v>10</v>
      </c>
      <c r="C14" s="1" t="s">
        <v>634</v>
      </c>
      <c r="D14">
        <v>2</v>
      </c>
      <c r="E14">
        <v>3</v>
      </c>
      <c r="F14">
        <v>11</v>
      </c>
      <c r="G14">
        <v>0</v>
      </c>
      <c r="H14">
        <f t="shared" si="0"/>
        <v>150</v>
      </c>
    </row>
    <row r="15" spans="1:8" ht="409.5" x14ac:dyDescent="0.25">
      <c r="A15">
        <v>20</v>
      </c>
      <c r="B15" t="s">
        <v>10</v>
      </c>
      <c r="C15" s="1" t="s">
        <v>633</v>
      </c>
      <c r="D15">
        <v>3</v>
      </c>
      <c r="E15">
        <v>2</v>
      </c>
      <c r="F15">
        <v>15</v>
      </c>
      <c r="G15">
        <v>0</v>
      </c>
      <c r="H15">
        <f t="shared" si="0"/>
        <v>138</v>
      </c>
    </row>
    <row r="16" spans="1:8" ht="409.5" x14ac:dyDescent="0.25">
      <c r="A16">
        <v>21</v>
      </c>
      <c r="B16" t="s">
        <v>10</v>
      </c>
      <c r="C16" s="1" t="s">
        <v>632</v>
      </c>
      <c r="D16">
        <v>2</v>
      </c>
      <c r="E16">
        <v>2</v>
      </c>
      <c r="F16">
        <v>18</v>
      </c>
      <c r="G16">
        <v>0</v>
      </c>
      <c r="H16">
        <f t="shared" si="0"/>
        <v>144</v>
      </c>
    </row>
    <row r="17" spans="1:8" ht="409.5" x14ac:dyDescent="0.25">
      <c r="A17">
        <v>22</v>
      </c>
      <c r="B17" t="s">
        <v>10</v>
      </c>
      <c r="C17" s="1" t="s">
        <v>631</v>
      </c>
      <c r="D17">
        <v>4</v>
      </c>
      <c r="E17">
        <v>2</v>
      </c>
      <c r="F17">
        <v>12</v>
      </c>
      <c r="G17">
        <v>0</v>
      </c>
      <c r="H17">
        <f t="shared" si="0"/>
        <v>168</v>
      </c>
    </row>
    <row r="18" spans="1:8" ht="409.5" x14ac:dyDescent="0.25">
      <c r="A18">
        <v>23</v>
      </c>
      <c r="B18" t="s">
        <v>10</v>
      </c>
      <c r="C18" s="1" t="s">
        <v>630</v>
      </c>
      <c r="D18">
        <v>2</v>
      </c>
      <c r="E18">
        <v>3</v>
      </c>
      <c r="F18">
        <v>12</v>
      </c>
      <c r="G18">
        <v>0</v>
      </c>
      <c r="H18">
        <f t="shared" si="0"/>
        <v>124</v>
      </c>
    </row>
    <row r="19" spans="1:8" ht="409.5" x14ac:dyDescent="0.25">
      <c r="A19">
        <v>24</v>
      </c>
      <c r="B19" t="s">
        <v>10</v>
      </c>
      <c r="C19" s="1" t="s">
        <v>629</v>
      </c>
      <c r="D19">
        <v>2</v>
      </c>
      <c r="E19">
        <v>4</v>
      </c>
      <c r="F19">
        <v>16</v>
      </c>
      <c r="G19">
        <v>0</v>
      </c>
      <c r="H19">
        <f t="shared" si="0"/>
        <v>137</v>
      </c>
    </row>
    <row r="20" spans="1:8" ht="409.5" x14ac:dyDescent="0.25">
      <c r="A20">
        <v>25</v>
      </c>
      <c r="B20" t="s">
        <v>10</v>
      </c>
      <c r="C20" s="1" t="s">
        <v>628</v>
      </c>
      <c r="D20">
        <v>1</v>
      </c>
      <c r="E20">
        <v>5</v>
      </c>
      <c r="F20">
        <v>13</v>
      </c>
      <c r="G20">
        <v>0</v>
      </c>
      <c r="H20">
        <f t="shared" si="0"/>
        <v>139</v>
      </c>
    </row>
    <row r="21" spans="1:8" ht="409.5" x14ac:dyDescent="0.25">
      <c r="A21">
        <v>26</v>
      </c>
      <c r="B21" t="s">
        <v>10</v>
      </c>
      <c r="C21" s="1" t="s">
        <v>627</v>
      </c>
      <c r="D21">
        <v>1</v>
      </c>
      <c r="E21">
        <v>3</v>
      </c>
      <c r="F21">
        <v>16</v>
      </c>
      <c r="G21">
        <v>0</v>
      </c>
      <c r="H21">
        <f t="shared" si="0"/>
        <v>144</v>
      </c>
    </row>
    <row r="22" spans="1:8" ht="409.5" x14ac:dyDescent="0.25">
      <c r="A22">
        <v>27</v>
      </c>
      <c r="B22" t="s">
        <v>10</v>
      </c>
      <c r="C22" s="1" t="s">
        <v>626</v>
      </c>
      <c r="D22">
        <v>2</v>
      </c>
      <c r="E22">
        <v>4</v>
      </c>
      <c r="F22">
        <v>12</v>
      </c>
      <c r="G22">
        <v>0</v>
      </c>
      <c r="H22">
        <f t="shared" si="0"/>
        <v>136</v>
      </c>
    </row>
    <row r="23" spans="1:8" ht="409.5" x14ac:dyDescent="0.25">
      <c r="A23">
        <v>28</v>
      </c>
      <c r="B23" t="s">
        <v>10</v>
      </c>
      <c r="C23" s="1" t="s">
        <v>625</v>
      </c>
      <c r="D23">
        <v>3</v>
      </c>
      <c r="E23">
        <v>3</v>
      </c>
      <c r="F23">
        <v>12</v>
      </c>
      <c r="G23">
        <v>0</v>
      </c>
      <c r="H23">
        <f t="shared" si="0"/>
        <v>135</v>
      </c>
    </row>
    <row r="24" spans="1:8" ht="409.5" x14ac:dyDescent="0.25">
      <c r="A24">
        <v>29</v>
      </c>
      <c r="B24" t="s">
        <v>10</v>
      </c>
      <c r="C24" s="1" t="s">
        <v>624</v>
      </c>
      <c r="D24">
        <v>1</v>
      </c>
      <c r="E24">
        <v>2</v>
      </c>
      <c r="F24">
        <v>16</v>
      </c>
      <c r="G24">
        <v>0</v>
      </c>
      <c r="H24">
        <f t="shared" si="0"/>
        <v>134</v>
      </c>
    </row>
    <row r="25" spans="1:8" ht="409.5" x14ac:dyDescent="0.25">
      <c r="A25">
        <v>30</v>
      </c>
      <c r="B25" t="s">
        <v>10</v>
      </c>
      <c r="C25" s="1" t="s">
        <v>623</v>
      </c>
      <c r="D25">
        <v>3</v>
      </c>
      <c r="E25">
        <v>3</v>
      </c>
      <c r="F25">
        <v>14</v>
      </c>
      <c r="G25">
        <v>0</v>
      </c>
      <c r="H25">
        <f t="shared" si="0"/>
        <v>139</v>
      </c>
    </row>
    <row r="26" spans="1:8" ht="409.5" x14ac:dyDescent="0.25">
      <c r="A26">
        <v>31</v>
      </c>
      <c r="B26" t="s">
        <v>10</v>
      </c>
      <c r="C26" s="1" t="s">
        <v>622</v>
      </c>
      <c r="D26">
        <v>1</v>
      </c>
      <c r="E26">
        <v>4</v>
      </c>
      <c r="F26">
        <v>17</v>
      </c>
      <c r="G26">
        <v>0</v>
      </c>
      <c r="H26">
        <f t="shared" si="0"/>
        <v>135</v>
      </c>
    </row>
    <row r="27" spans="1:8" ht="409.5" x14ac:dyDescent="0.25">
      <c r="A27">
        <v>32</v>
      </c>
      <c r="B27" t="s">
        <v>10</v>
      </c>
      <c r="C27" s="1" t="s">
        <v>621</v>
      </c>
      <c r="D27">
        <v>2</v>
      </c>
      <c r="E27">
        <v>1</v>
      </c>
      <c r="F27">
        <v>12</v>
      </c>
      <c r="G27">
        <v>0</v>
      </c>
      <c r="H27">
        <f t="shared" si="0"/>
        <v>128</v>
      </c>
    </row>
    <row r="28" spans="1:8" ht="409.5" x14ac:dyDescent="0.25">
      <c r="A28">
        <v>33</v>
      </c>
      <c r="B28" t="s">
        <v>10</v>
      </c>
      <c r="C28" s="1" t="s">
        <v>620</v>
      </c>
      <c r="D28">
        <v>1</v>
      </c>
      <c r="E28">
        <v>4</v>
      </c>
      <c r="F28">
        <v>15</v>
      </c>
      <c r="G28">
        <v>0</v>
      </c>
      <c r="H28">
        <f t="shared" si="0"/>
        <v>146</v>
      </c>
    </row>
    <row r="29" spans="1:8" ht="409.5" x14ac:dyDescent="0.25">
      <c r="A29">
        <v>34</v>
      </c>
      <c r="B29" t="s">
        <v>10</v>
      </c>
      <c r="C29" s="1" t="s">
        <v>619</v>
      </c>
      <c r="D29">
        <v>2</v>
      </c>
      <c r="E29">
        <v>2</v>
      </c>
      <c r="F29">
        <v>13</v>
      </c>
      <c r="G29">
        <v>0</v>
      </c>
      <c r="H29">
        <f t="shared" si="0"/>
        <v>128</v>
      </c>
    </row>
    <row r="30" spans="1:8" ht="409.5" x14ac:dyDescent="0.25">
      <c r="A30">
        <v>35</v>
      </c>
      <c r="B30" t="s">
        <v>69</v>
      </c>
      <c r="C30" s="1" t="s">
        <v>618</v>
      </c>
      <c r="D30">
        <v>2</v>
      </c>
      <c r="E30">
        <v>0</v>
      </c>
      <c r="F30">
        <v>17</v>
      </c>
      <c r="G30">
        <v>0</v>
      </c>
      <c r="H30">
        <f t="shared" si="0"/>
        <v>136</v>
      </c>
    </row>
    <row r="31" spans="1:8" ht="409.5" x14ac:dyDescent="0.25">
      <c r="A31">
        <v>36</v>
      </c>
      <c r="B31" t="s">
        <v>69</v>
      </c>
      <c r="C31" s="1" t="s">
        <v>617</v>
      </c>
      <c r="D31">
        <v>3</v>
      </c>
      <c r="E31">
        <v>0</v>
      </c>
      <c r="F31">
        <v>13</v>
      </c>
      <c r="G31">
        <v>0</v>
      </c>
      <c r="H31">
        <f t="shared" si="0"/>
        <v>134</v>
      </c>
    </row>
    <row r="32" spans="1:8" ht="409.5" x14ac:dyDescent="0.25">
      <c r="A32">
        <v>37</v>
      </c>
      <c r="B32" t="s">
        <v>69</v>
      </c>
      <c r="C32" s="1" t="s">
        <v>616</v>
      </c>
      <c r="D32">
        <v>3</v>
      </c>
      <c r="E32">
        <v>0</v>
      </c>
      <c r="F32">
        <v>16</v>
      </c>
      <c r="G32">
        <v>0</v>
      </c>
      <c r="H32">
        <f t="shared" si="0"/>
        <v>140</v>
      </c>
    </row>
    <row r="33" spans="1:8" ht="409.5" x14ac:dyDescent="0.25">
      <c r="A33">
        <v>38</v>
      </c>
      <c r="B33" t="s">
        <v>69</v>
      </c>
      <c r="C33" s="1" t="s">
        <v>615</v>
      </c>
      <c r="D33">
        <v>2</v>
      </c>
      <c r="E33">
        <v>0</v>
      </c>
      <c r="F33">
        <v>18</v>
      </c>
      <c r="G33">
        <v>0</v>
      </c>
      <c r="H33">
        <f t="shared" si="0"/>
        <v>149</v>
      </c>
    </row>
    <row r="34" spans="1:8" ht="409.5" x14ac:dyDescent="0.25">
      <c r="A34">
        <v>39</v>
      </c>
      <c r="B34" t="s">
        <v>69</v>
      </c>
      <c r="C34" s="1" t="s">
        <v>614</v>
      </c>
      <c r="D34">
        <v>3</v>
      </c>
      <c r="E34">
        <v>1</v>
      </c>
      <c r="F34">
        <v>15</v>
      </c>
      <c r="G34">
        <v>0</v>
      </c>
      <c r="H34">
        <f t="shared" si="0"/>
        <v>147</v>
      </c>
    </row>
    <row r="35" spans="1:8" ht="409.5" x14ac:dyDescent="0.25">
      <c r="A35">
        <v>40</v>
      </c>
      <c r="B35" t="s">
        <v>69</v>
      </c>
      <c r="C35" s="1" t="s">
        <v>613</v>
      </c>
      <c r="D35">
        <v>2</v>
      </c>
      <c r="E35">
        <v>0</v>
      </c>
      <c r="F35">
        <v>18</v>
      </c>
      <c r="G35">
        <v>0</v>
      </c>
      <c r="H35">
        <f t="shared" si="0"/>
        <v>139</v>
      </c>
    </row>
    <row r="36" spans="1:8" ht="409.5" x14ac:dyDescent="0.25">
      <c r="A36">
        <v>41</v>
      </c>
      <c r="B36" t="s">
        <v>69</v>
      </c>
      <c r="C36" s="1" t="s">
        <v>612</v>
      </c>
      <c r="D36">
        <v>4</v>
      </c>
      <c r="E36">
        <v>0</v>
      </c>
      <c r="F36">
        <v>17</v>
      </c>
      <c r="G36">
        <v>0</v>
      </c>
      <c r="H36">
        <f t="shared" si="0"/>
        <v>150</v>
      </c>
    </row>
    <row r="37" spans="1:8" ht="409.5" x14ac:dyDescent="0.25">
      <c r="A37">
        <v>42</v>
      </c>
      <c r="B37" t="s">
        <v>69</v>
      </c>
      <c r="C37" s="1" t="s">
        <v>611</v>
      </c>
      <c r="D37">
        <v>2</v>
      </c>
      <c r="E37">
        <v>0</v>
      </c>
      <c r="F37">
        <v>16</v>
      </c>
      <c r="G37">
        <v>0</v>
      </c>
      <c r="H37">
        <f t="shared" si="0"/>
        <v>144</v>
      </c>
    </row>
    <row r="38" spans="1:8" ht="409.5" x14ac:dyDescent="0.25">
      <c r="A38">
        <v>43</v>
      </c>
      <c r="B38" t="s">
        <v>69</v>
      </c>
      <c r="C38" s="1" t="s">
        <v>610</v>
      </c>
      <c r="D38">
        <v>2</v>
      </c>
      <c r="E38">
        <v>1</v>
      </c>
      <c r="F38">
        <v>16</v>
      </c>
      <c r="G38">
        <v>0</v>
      </c>
      <c r="H38">
        <f t="shared" si="0"/>
        <v>148</v>
      </c>
    </row>
    <row r="39" spans="1:8" ht="409.5" x14ac:dyDescent="0.25">
      <c r="A39">
        <v>44</v>
      </c>
      <c r="B39" t="s">
        <v>69</v>
      </c>
      <c r="C39" s="1" t="s">
        <v>609</v>
      </c>
      <c r="D39">
        <v>2</v>
      </c>
      <c r="E39">
        <v>0</v>
      </c>
      <c r="F39">
        <v>16</v>
      </c>
      <c r="G39">
        <v>0</v>
      </c>
      <c r="H39">
        <f t="shared" si="0"/>
        <v>123</v>
      </c>
    </row>
    <row r="40" spans="1:8" ht="409.5" x14ac:dyDescent="0.25">
      <c r="A40">
        <v>45</v>
      </c>
      <c r="B40" t="s">
        <v>69</v>
      </c>
      <c r="C40" s="1" t="s">
        <v>608</v>
      </c>
      <c r="D40">
        <v>1</v>
      </c>
      <c r="E40">
        <v>0</v>
      </c>
      <c r="F40">
        <v>15</v>
      </c>
      <c r="G40">
        <v>0</v>
      </c>
      <c r="H40">
        <f t="shared" si="0"/>
        <v>145</v>
      </c>
    </row>
    <row r="41" spans="1:8" ht="409.5" x14ac:dyDescent="0.25">
      <c r="A41">
        <v>46</v>
      </c>
      <c r="B41" t="s">
        <v>69</v>
      </c>
      <c r="C41" s="1" t="s">
        <v>607</v>
      </c>
      <c r="D41">
        <v>2</v>
      </c>
      <c r="E41">
        <v>0</v>
      </c>
      <c r="F41">
        <v>14</v>
      </c>
      <c r="G41">
        <v>0</v>
      </c>
      <c r="H41">
        <f t="shared" si="0"/>
        <v>143</v>
      </c>
    </row>
    <row r="42" spans="1:8" ht="409.5" x14ac:dyDescent="0.25">
      <c r="A42">
        <v>47</v>
      </c>
      <c r="B42" t="s">
        <v>69</v>
      </c>
      <c r="C42" s="1" t="s">
        <v>606</v>
      </c>
      <c r="D42">
        <v>3</v>
      </c>
      <c r="E42">
        <v>0</v>
      </c>
      <c r="F42">
        <v>18</v>
      </c>
      <c r="G42">
        <v>0</v>
      </c>
      <c r="H42">
        <f t="shared" si="0"/>
        <v>143</v>
      </c>
    </row>
    <row r="43" spans="1:8" ht="409.5" x14ac:dyDescent="0.25">
      <c r="A43">
        <v>48</v>
      </c>
      <c r="B43" t="s">
        <v>69</v>
      </c>
      <c r="C43" s="1" t="s">
        <v>605</v>
      </c>
      <c r="D43">
        <v>4</v>
      </c>
      <c r="E43">
        <v>0</v>
      </c>
      <c r="F43">
        <v>18</v>
      </c>
      <c r="G43">
        <v>0</v>
      </c>
      <c r="H43">
        <f t="shared" si="0"/>
        <v>151</v>
      </c>
    </row>
    <row r="44" spans="1:8" ht="409.5" x14ac:dyDescent="0.25">
      <c r="A44">
        <v>49</v>
      </c>
      <c r="B44" t="s">
        <v>69</v>
      </c>
      <c r="C44" s="1" t="s">
        <v>604</v>
      </c>
      <c r="D44">
        <v>2</v>
      </c>
      <c r="E44">
        <v>0</v>
      </c>
      <c r="F44">
        <v>17</v>
      </c>
      <c r="G44">
        <v>0</v>
      </c>
      <c r="H44">
        <f t="shared" si="0"/>
        <v>136</v>
      </c>
    </row>
    <row r="45" spans="1:8" ht="409.5" x14ac:dyDescent="0.25">
      <c r="A45">
        <v>50</v>
      </c>
      <c r="B45" t="s">
        <v>69</v>
      </c>
      <c r="C45" s="1" t="s">
        <v>603</v>
      </c>
      <c r="D45">
        <v>4</v>
      </c>
      <c r="E45">
        <v>1</v>
      </c>
      <c r="F45">
        <v>17</v>
      </c>
      <c r="G45">
        <v>0</v>
      </c>
      <c r="H45">
        <f t="shared" si="0"/>
        <v>156</v>
      </c>
    </row>
    <row r="46" spans="1:8" ht="409.5" x14ac:dyDescent="0.25">
      <c r="A46">
        <v>51</v>
      </c>
      <c r="B46" t="s">
        <v>69</v>
      </c>
      <c r="C46" s="1" t="s">
        <v>602</v>
      </c>
      <c r="D46">
        <v>3</v>
      </c>
      <c r="E46">
        <v>0</v>
      </c>
      <c r="F46">
        <v>18</v>
      </c>
      <c r="G46">
        <v>0</v>
      </c>
      <c r="H46">
        <f t="shared" si="0"/>
        <v>129</v>
      </c>
    </row>
    <row r="47" spans="1:8" ht="409.5" x14ac:dyDescent="0.25">
      <c r="A47">
        <v>52</v>
      </c>
      <c r="B47" t="s">
        <v>69</v>
      </c>
      <c r="C47" s="1" t="s">
        <v>601</v>
      </c>
      <c r="D47">
        <v>1</v>
      </c>
      <c r="E47">
        <v>0</v>
      </c>
      <c r="F47">
        <v>19</v>
      </c>
      <c r="G47">
        <v>0</v>
      </c>
      <c r="H47">
        <f t="shared" si="0"/>
        <v>156</v>
      </c>
    </row>
    <row r="48" spans="1:8" ht="409.5" x14ac:dyDescent="0.25">
      <c r="A48">
        <v>53</v>
      </c>
      <c r="B48" t="s">
        <v>69</v>
      </c>
      <c r="C48" s="1" t="s">
        <v>600</v>
      </c>
      <c r="D48">
        <v>3</v>
      </c>
      <c r="E48">
        <v>0</v>
      </c>
      <c r="F48">
        <v>17</v>
      </c>
      <c r="G48">
        <v>0</v>
      </c>
      <c r="H48">
        <f t="shared" si="0"/>
        <v>141</v>
      </c>
    </row>
    <row r="49" spans="1:8" ht="409.5" x14ac:dyDescent="0.25">
      <c r="A49">
        <v>54</v>
      </c>
      <c r="B49" t="s">
        <v>69</v>
      </c>
      <c r="C49" s="1" t="s">
        <v>599</v>
      </c>
      <c r="D49">
        <v>2</v>
      </c>
      <c r="E49">
        <v>0</v>
      </c>
      <c r="F49">
        <v>17</v>
      </c>
      <c r="G49">
        <v>0</v>
      </c>
      <c r="H49">
        <f t="shared" si="0"/>
        <v>139</v>
      </c>
    </row>
    <row r="50" spans="1:8" ht="409.5" x14ac:dyDescent="0.25">
      <c r="A50">
        <v>55</v>
      </c>
      <c r="B50" t="s">
        <v>69</v>
      </c>
      <c r="C50" s="1" t="s">
        <v>598</v>
      </c>
      <c r="D50">
        <v>2</v>
      </c>
      <c r="E50">
        <v>0</v>
      </c>
      <c r="F50">
        <v>16</v>
      </c>
      <c r="G50">
        <v>0</v>
      </c>
      <c r="H50">
        <f t="shared" si="0"/>
        <v>135</v>
      </c>
    </row>
    <row r="51" spans="1:8" ht="409.5" x14ac:dyDescent="0.25">
      <c r="A51">
        <v>56</v>
      </c>
      <c r="B51" t="s">
        <v>69</v>
      </c>
      <c r="C51" s="1" t="s">
        <v>597</v>
      </c>
      <c r="D51">
        <v>2</v>
      </c>
      <c r="E51">
        <v>0</v>
      </c>
      <c r="F51">
        <v>13</v>
      </c>
      <c r="G51">
        <v>0</v>
      </c>
      <c r="H51">
        <f t="shared" si="0"/>
        <v>135</v>
      </c>
    </row>
    <row r="52" spans="1:8" ht="409.5" x14ac:dyDescent="0.25">
      <c r="A52">
        <v>57</v>
      </c>
      <c r="B52" t="s">
        <v>69</v>
      </c>
      <c r="C52" s="1" t="s">
        <v>596</v>
      </c>
      <c r="D52">
        <v>2</v>
      </c>
      <c r="E52">
        <v>0</v>
      </c>
      <c r="F52">
        <v>18</v>
      </c>
      <c r="G52">
        <v>0</v>
      </c>
      <c r="H52">
        <f t="shared" si="0"/>
        <v>127</v>
      </c>
    </row>
    <row r="53" spans="1:8" ht="409.5" x14ac:dyDescent="0.25">
      <c r="A53">
        <v>58</v>
      </c>
      <c r="B53" t="s">
        <v>69</v>
      </c>
      <c r="C53" s="1" t="s">
        <v>595</v>
      </c>
      <c r="D53">
        <v>2</v>
      </c>
      <c r="E53">
        <v>0</v>
      </c>
      <c r="F53">
        <v>18</v>
      </c>
      <c r="G53">
        <v>0</v>
      </c>
      <c r="H53">
        <f t="shared" si="0"/>
        <v>145</v>
      </c>
    </row>
    <row r="54" spans="1:8" ht="409.5" x14ac:dyDescent="0.25">
      <c r="A54">
        <v>59</v>
      </c>
      <c r="B54" t="s">
        <v>69</v>
      </c>
      <c r="C54" s="1" t="s">
        <v>594</v>
      </c>
      <c r="D54">
        <v>3</v>
      </c>
      <c r="E54">
        <v>0</v>
      </c>
      <c r="F54">
        <v>17</v>
      </c>
      <c r="G54">
        <v>0</v>
      </c>
      <c r="H54">
        <f t="shared" si="0"/>
        <v>138</v>
      </c>
    </row>
    <row r="55" spans="1:8" ht="409.5" x14ac:dyDescent="0.25">
      <c r="A55">
        <v>60</v>
      </c>
      <c r="B55" t="s">
        <v>69</v>
      </c>
      <c r="C55" s="1" t="s">
        <v>593</v>
      </c>
      <c r="D55">
        <v>2</v>
      </c>
      <c r="E55">
        <v>1</v>
      </c>
      <c r="F55">
        <v>17</v>
      </c>
      <c r="G55">
        <v>0</v>
      </c>
      <c r="H55">
        <f t="shared" si="0"/>
        <v>143</v>
      </c>
    </row>
    <row r="56" spans="1:8" ht="409.5" x14ac:dyDescent="0.25">
      <c r="A56">
        <v>61</v>
      </c>
      <c r="B56" t="s">
        <v>69</v>
      </c>
      <c r="C56" s="1" t="s">
        <v>592</v>
      </c>
      <c r="D56">
        <v>1</v>
      </c>
      <c r="E56">
        <v>0</v>
      </c>
      <c r="F56">
        <v>15</v>
      </c>
      <c r="G56">
        <v>0</v>
      </c>
      <c r="H56">
        <f t="shared" si="0"/>
        <v>140</v>
      </c>
    </row>
    <row r="57" spans="1:8" ht="409.5" x14ac:dyDescent="0.25">
      <c r="A57">
        <v>62</v>
      </c>
      <c r="B57" t="s">
        <v>69</v>
      </c>
      <c r="C57" s="1" t="s">
        <v>591</v>
      </c>
      <c r="D57">
        <v>1</v>
      </c>
      <c r="E57">
        <v>0</v>
      </c>
      <c r="F57">
        <v>17</v>
      </c>
      <c r="G57">
        <v>0</v>
      </c>
      <c r="H57">
        <f t="shared" si="0"/>
        <v>156</v>
      </c>
    </row>
    <row r="58" spans="1:8" ht="409.5" x14ac:dyDescent="0.25">
      <c r="A58">
        <v>63</v>
      </c>
      <c r="B58" t="s">
        <v>126</v>
      </c>
      <c r="C58" s="1" t="s">
        <v>590</v>
      </c>
      <c r="D58">
        <v>1</v>
      </c>
      <c r="E58">
        <v>0</v>
      </c>
      <c r="F58">
        <v>20</v>
      </c>
      <c r="G58">
        <v>0</v>
      </c>
      <c r="H58">
        <f t="shared" si="0"/>
        <v>156</v>
      </c>
    </row>
    <row r="59" spans="1:8" ht="409.5" x14ac:dyDescent="0.25">
      <c r="A59">
        <v>64</v>
      </c>
      <c r="B59" t="s">
        <v>126</v>
      </c>
      <c r="C59" s="1" t="s">
        <v>589</v>
      </c>
      <c r="D59">
        <v>1</v>
      </c>
      <c r="E59">
        <v>0</v>
      </c>
      <c r="F59">
        <v>17</v>
      </c>
      <c r="G59">
        <v>0</v>
      </c>
      <c r="H59">
        <f t="shared" si="0"/>
        <v>150</v>
      </c>
    </row>
    <row r="60" spans="1:8" ht="409.5" x14ac:dyDescent="0.25">
      <c r="A60">
        <v>65</v>
      </c>
      <c r="B60" t="s">
        <v>126</v>
      </c>
      <c r="C60" s="1" t="s">
        <v>588</v>
      </c>
      <c r="D60">
        <v>4</v>
      </c>
      <c r="E60">
        <v>0</v>
      </c>
      <c r="F60">
        <v>22</v>
      </c>
      <c r="G60">
        <v>0</v>
      </c>
      <c r="H60">
        <f t="shared" si="0"/>
        <v>151</v>
      </c>
    </row>
    <row r="61" spans="1:8" ht="409.5" x14ac:dyDescent="0.25">
      <c r="A61">
        <v>66</v>
      </c>
      <c r="B61" t="s">
        <v>126</v>
      </c>
      <c r="C61" s="1" t="s">
        <v>587</v>
      </c>
      <c r="D61">
        <v>2</v>
      </c>
      <c r="E61">
        <v>0</v>
      </c>
      <c r="F61">
        <v>25</v>
      </c>
      <c r="G61">
        <v>0</v>
      </c>
      <c r="H61">
        <f t="shared" si="0"/>
        <v>153</v>
      </c>
    </row>
    <row r="62" spans="1:8" ht="409.5" x14ac:dyDescent="0.25">
      <c r="A62">
        <v>67</v>
      </c>
      <c r="B62" t="s">
        <v>126</v>
      </c>
      <c r="C62" s="1" t="s">
        <v>586</v>
      </c>
      <c r="D62">
        <v>4</v>
      </c>
      <c r="E62">
        <v>0</v>
      </c>
      <c r="F62">
        <v>22</v>
      </c>
      <c r="G62">
        <v>0</v>
      </c>
      <c r="H62">
        <f t="shared" si="0"/>
        <v>140</v>
      </c>
    </row>
    <row r="63" spans="1:8" ht="409.5" x14ac:dyDescent="0.25">
      <c r="A63">
        <v>68</v>
      </c>
      <c r="B63" t="s">
        <v>126</v>
      </c>
      <c r="C63" s="1" t="s">
        <v>585</v>
      </c>
      <c r="D63">
        <v>3</v>
      </c>
      <c r="E63">
        <v>0</v>
      </c>
      <c r="F63">
        <v>21</v>
      </c>
      <c r="G63">
        <v>0</v>
      </c>
      <c r="H63">
        <f t="shared" si="0"/>
        <v>150</v>
      </c>
    </row>
    <row r="64" spans="1:8" ht="409.5" x14ac:dyDescent="0.25">
      <c r="A64">
        <v>69</v>
      </c>
      <c r="B64" t="s">
        <v>126</v>
      </c>
      <c r="C64" s="1" t="s">
        <v>584</v>
      </c>
      <c r="D64">
        <v>3</v>
      </c>
      <c r="E64">
        <v>0</v>
      </c>
      <c r="F64">
        <v>21</v>
      </c>
      <c r="G64">
        <v>0</v>
      </c>
      <c r="H64">
        <f t="shared" si="0"/>
        <v>145</v>
      </c>
    </row>
    <row r="65" spans="1:8" ht="409.5" x14ac:dyDescent="0.25">
      <c r="A65">
        <v>70</v>
      </c>
      <c r="B65" t="s">
        <v>126</v>
      </c>
      <c r="C65" s="1" t="s">
        <v>583</v>
      </c>
      <c r="D65">
        <v>2</v>
      </c>
      <c r="E65">
        <v>0</v>
      </c>
      <c r="F65">
        <v>22</v>
      </c>
      <c r="G65">
        <v>0</v>
      </c>
      <c r="H65">
        <f t="shared" si="0"/>
        <v>158</v>
      </c>
    </row>
    <row r="66" spans="1:8" ht="409.5" x14ac:dyDescent="0.25">
      <c r="A66">
        <v>71</v>
      </c>
      <c r="B66" t="s">
        <v>126</v>
      </c>
      <c r="C66" s="1" t="s">
        <v>582</v>
      </c>
      <c r="D66">
        <v>2</v>
      </c>
      <c r="E66">
        <v>0</v>
      </c>
      <c r="F66">
        <v>20</v>
      </c>
      <c r="G66">
        <v>0</v>
      </c>
      <c r="H66">
        <f t="shared" si="0"/>
        <v>157</v>
      </c>
    </row>
    <row r="67" spans="1:8" ht="409.5" x14ac:dyDescent="0.25">
      <c r="A67">
        <v>72</v>
      </c>
      <c r="B67" t="s">
        <v>126</v>
      </c>
      <c r="C67" s="1" t="s">
        <v>581</v>
      </c>
      <c r="D67">
        <v>1</v>
      </c>
      <c r="E67">
        <v>0</v>
      </c>
      <c r="F67">
        <v>18</v>
      </c>
      <c r="G67">
        <v>0</v>
      </c>
      <c r="H67">
        <f t="shared" ref="H67:H85" si="1">IF(LEN(TRIM(C67))=0,0,LEN(TRIM(C67))-LEN(SUBSTITUTE(TRIM(C67)," ",""))+7)</f>
        <v>150</v>
      </c>
    </row>
    <row r="68" spans="1:8" ht="409.5" x14ac:dyDescent="0.25">
      <c r="A68">
        <v>73</v>
      </c>
      <c r="B68" t="s">
        <v>126</v>
      </c>
      <c r="C68" s="1" t="s">
        <v>580</v>
      </c>
      <c r="D68">
        <v>2</v>
      </c>
      <c r="E68">
        <v>0</v>
      </c>
      <c r="F68">
        <v>17</v>
      </c>
      <c r="G68">
        <v>0</v>
      </c>
      <c r="H68">
        <f t="shared" si="1"/>
        <v>146</v>
      </c>
    </row>
    <row r="69" spans="1:8" ht="409.5" x14ac:dyDescent="0.25">
      <c r="A69">
        <v>74</v>
      </c>
      <c r="B69" t="s">
        <v>126</v>
      </c>
      <c r="C69" s="1" t="s">
        <v>579</v>
      </c>
      <c r="D69">
        <v>4</v>
      </c>
      <c r="E69">
        <v>1</v>
      </c>
      <c r="F69">
        <v>20</v>
      </c>
      <c r="G69">
        <v>0</v>
      </c>
      <c r="H69">
        <f t="shared" si="1"/>
        <v>159</v>
      </c>
    </row>
    <row r="70" spans="1:8" ht="409.5" x14ac:dyDescent="0.25">
      <c r="A70">
        <v>75</v>
      </c>
      <c r="B70" t="s">
        <v>126</v>
      </c>
      <c r="C70" s="1" t="s">
        <v>578</v>
      </c>
      <c r="D70">
        <v>2</v>
      </c>
      <c r="E70">
        <v>1</v>
      </c>
      <c r="F70">
        <v>21</v>
      </c>
      <c r="G70">
        <v>0</v>
      </c>
      <c r="H70">
        <f t="shared" si="1"/>
        <v>171</v>
      </c>
    </row>
    <row r="71" spans="1:8" ht="409.5" x14ac:dyDescent="0.25">
      <c r="A71">
        <v>76</v>
      </c>
      <c r="B71" t="s">
        <v>126</v>
      </c>
      <c r="C71" s="1" t="s">
        <v>577</v>
      </c>
      <c r="D71">
        <v>2</v>
      </c>
      <c r="E71">
        <v>0</v>
      </c>
      <c r="F71">
        <v>22</v>
      </c>
      <c r="G71">
        <v>0</v>
      </c>
      <c r="H71">
        <f t="shared" si="1"/>
        <v>159</v>
      </c>
    </row>
    <row r="72" spans="1:8" ht="409.5" x14ac:dyDescent="0.25">
      <c r="A72">
        <v>77</v>
      </c>
      <c r="B72" t="s">
        <v>126</v>
      </c>
      <c r="C72" s="1" t="s">
        <v>576</v>
      </c>
      <c r="D72">
        <v>3</v>
      </c>
      <c r="E72">
        <v>0</v>
      </c>
      <c r="F72">
        <v>17</v>
      </c>
      <c r="G72">
        <v>0</v>
      </c>
      <c r="H72">
        <f t="shared" si="1"/>
        <v>150</v>
      </c>
    </row>
    <row r="73" spans="1:8" ht="409.5" x14ac:dyDescent="0.25">
      <c r="A73">
        <v>78</v>
      </c>
      <c r="B73" t="s">
        <v>126</v>
      </c>
      <c r="C73" s="1" t="s">
        <v>575</v>
      </c>
      <c r="D73">
        <v>3</v>
      </c>
      <c r="E73">
        <v>0</v>
      </c>
      <c r="F73">
        <v>19</v>
      </c>
      <c r="G73">
        <v>0</v>
      </c>
      <c r="H73">
        <f t="shared" si="1"/>
        <v>143</v>
      </c>
    </row>
    <row r="74" spans="1:8" ht="409.5" x14ac:dyDescent="0.25">
      <c r="A74">
        <v>79</v>
      </c>
      <c r="B74" t="s">
        <v>126</v>
      </c>
      <c r="C74" s="1" t="s">
        <v>574</v>
      </c>
      <c r="D74">
        <v>2</v>
      </c>
      <c r="E74">
        <v>0</v>
      </c>
      <c r="F74">
        <v>22</v>
      </c>
      <c r="G74">
        <v>0</v>
      </c>
      <c r="H74">
        <f t="shared" si="1"/>
        <v>174</v>
      </c>
    </row>
    <row r="75" spans="1:8" ht="409.5" x14ac:dyDescent="0.25">
      <c r="A75">
        <v>80</v>
      </c>
      <c r="B75" t="s">
        <v>126</v>
      </c>
      <c r="C75" s="1" t="s">
        <v>573</v>
      </c>
      <c r="D75">
        <v>2</v>
      </c>
      <c r="E75">
        <v>0</v>
      </c>
      <c r="F75">
        <v>20</v>
      </c>
      <c r="G75">
        <v>0</v>
      </c>
      <c r="H75">
        <f t="shared" si="1"/>
        <v>167</v>
      </c>
    </row>
    <row r="76" spans="1:8" ht="409.5" x14ac:dyDescent="0.25">
      <c r="A76">
        <v>81</v>
      </c>
      <c r="B76" t="s">
        <v>126</v>
      </c>
      <c r="C76" s="1" t="s">
        <v>572</v>
      </c>
      <c r="D76">
        <v>3</v>
      </c>
      <c r="E76">
        <v>1</v>
      </c>
      <c r="F76">
        <v>18</v>
      </c>
      <c r="G76">
        <v>0</v>
      </c>
      <c r="H76">
        <f t="shared" si="1"/>
        <v>141</v>
      </c>
    </row>
    <row r="77" spans="1:8" ht="409.5" x14ac:dyDescent="0.25">
      <c r="A77">
        <v>82</v>
      </c>
      <c r="B77" t="s">
        <v>126</v>
      </c>
      <c r="C77" s="1" t="s">
        <v>571</v>
      </c>
      <c r="D77">
        <v>2</v>
      </c>
      <c r="E77">
        <v>1</v>
      </c>
      <c r="F77">
        <v>22</v>
      </c>
      <c r="G77">
        <v>0</v>
      </c>
      <c r="H77">
        <f t="shared" si="1"/>
        <v>161</v>
      </c>
    </row>
    <row r="78" spans="1:8" ht="409.5" x14ac:dyDescent="0.25">
      <c r="A78">
        <v>83</v>
      </c>
      <c r="B78" t="s">
        <v>126</v>
      </c>
      <c r="C78" s="1" t="s">
        <v>570</v>
      </c>
      <c r="D78">
        <v>0</v>
      </c>
      <c r="E78">
        <v>1</v>
      </c>
      <c r="F78">
        <v>16</v>
      </c>
      <c r="G78">
        <v>0</v>
      </c>
      <c r="H78">
        <f t="shared" si="1"/>
        <v>147</v>
      </c>
    </row>
    <row r="79" spans="1:8" ht="409.5" x14ac:dyDescent="0.25">
      <c r="A79">
        <v>84</v>
      </c>
      <c r="B79" t="s">
        <v>126</v>
      </c>
      <c r="C79" s="1" t="s">
        <v>569</v>
      </c>
      <c r="D79">
        <v>2</v>
      </c>
      <c r="E79">
        <v>0</v>
      </c>
      <c r="F79">
        <v>21</v>
      </c>
      <c r="G79">
        <v>0</v>
      </c>
      <c r="H79">
        <f t="shared" si="1"/>
        <v>155</v>
      </c>
    </row>
    <row r="80" spans="1:8" ht="409.5" x14ac:dyDescent="0.25">
      <c r="A80">
        <v>85</v>
      </c>
      <c r="B80" t="s">
        <v>126</v>
      </c>
      <c r="C80" s="1" t="s">
        <v>568</v>
      </c>
      <c r="D80">
        <v>2</v>
      </c>
      <c r="E80">
        <v>0</v>
      </c>
      <c r="F80">
        <v>22</v>
      </c>
      <c r="G80">
        <v>0</v>
      </c>
      <c r="H80">
        <f t="shared" si="1"/>
        <v>145</v>
      </c>
    </row>
    <row r="81" spans="1:8" ht="409.5" x14ac:dyDescent="0.25">
      <c r="A81">
        <v>86</v>
      </c>
      <c r="B81" t="s">
        <v>126</v>
      </c>
      <c r="C81" s="1" t="s">
        <v>567</v>
      </c>
      <c r="D81">
        <v>0</v>
      </c>
      <c r="E81">
        <v>0</v>
      </c>
      <c r="F81">
        <v>20</v>
      </c>
      <c r="G81">
        <v>0</v>
      </c>
      <c r="H81">
        <f t="shared" si="1"/>
        <v>166</v>
      </c>
    </row>
    <row r="82" spans="1:8" ht="409.5" x14ac:dyDescent="0.25">
      <c r="A82">
        <v>87</v>
      </c>
      <c r="B82" t="s">
        <v>126</v>
      </c>
      <c r="C82" s="1" t="s">
        <v>566</v>
      </c>
      <c r="D82">
        <v>1</v>
      </c>
      <c r="E82">
        <v>0</v>
      </c>
      <c r="F82">
        <v>24</v>
      </c>
      <c r="G82">
        <v>0</v>
      </c>
      <c r="H82">
        <f t="shared" si="1"/>
        <v>151</v>
      </c>
    </row>
    <row r="83" spans="1:8" ht="409.5" x14ac:dyDescent="0.25">
      <c r="A83">
        <v>88</v>
      </c>
      <c r="B83" t="s">
        <v>126</v>
      </c>
      <c r="C83" s="1" t="s">
        <v>565</v>
      </c>
      <c r="D83">
        <v>2</v>
      </c>
      <c r="E83">
        <v>0</v>
      </c>
      <c r="F83">
        <v>24</v>
      </c>
      <c r="G83">
        <v>0</v>
      </c>
      <c r="H83">
        <f t="shared" si="1"/>
        <v>160</v>
      </c>
    </row>
    <row r="84" spans="1:8" ht="409.5" x14ac:dyDescent="0.25">
      <c r="A84">
        <v>89</v>
      </c>
      <c r="B84" t="s">
        <v>126</v>
      </c>
      <c r="C84" s="1" t="s">
        <v>564</v>
      </c>
      <c r="D84">
        <v>1</v>
      </c>
      <c r="E84">
        <v>0</v>
      </c>
      <c r="F84">
        <v>23</v>
      </c>
      <c r="G84">
        <v>0</v>
      </c>
      <c r="H84">
        <f t="shared" si="1"/>
        <v>165</v>
      </c>
    </row>
    <row r="85" spans="1:8" ht="409.5" x14ac:dyDescent="0.25">
      <c r="A85">
        <v>90</v>
      </c>
      <c r="B85" t="s">
        <v>126</v>
      </c>
      <c r="C85" s="1" t="s">
        <v>563</v>
      </c>
      <c r="D85">
        <v>2</v>
      </c>
      <c r="E85">
        <v>0</v>
      </c>
      <c r="F85">
        <v>21</v>
      </c>
      <c r="G85">
        <v>0</v>
      </c>
      <c r="H85">
        <f t="shared" si="1"/>
        <v>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CB9B-3AD6-4DFE-B3E7-C5E2BDEF37A5}">
  <dimension ref="A1:H177"/>
  <sheetViews>
    <sheetView topLeftCell="A76" workbookViewId="0">
      <selection activeCell="C2" sqref="C2"/>
    </sheetView>
  </sheetViews>
  <sheetFormatPr defaultRowHeight="15" x14ac:dyDescent="0.25"/>
  <cols>
    <col min="1" max="16384" width="9" style="2"/>
  </cols>
  <sheetData>
    <row r="1" spans="1:8" x14ac:dyDescent="0.25">
      <c r="A1" s="2" t="s">
        <v>11</v>
      </c>
      <c r="B1" s="2" t="s">
        <v>13</v>
      </c>
      <c r="C1" s="2" t="s">
        <v>479</v>
      </c>
      <c r="D1" s="2" t="s">
        <v>478</v>
      </c>
      <c r="E1" s="2" t="s">
        <v>477</v>
      </c>
      <c r="F1" s="2" t="s">
        <v>476</v>
      </c>
      <c r="G1" s="2" t="s">
        <v>475</v>
      </c>
      <c r="H1" s="2" t="s">
        <v>474</v>
      </c>
    </row>
    <row r="2" spans="1:8" x14ac:dyDescent="0.25">
      <c r="A2" s="2" t="s">
        <v>736</v>
      </c>
      <c r="B2" s="2" t="s">
        <v>737</v>
      </c>
      <c r="C2" s="2" t="s">
        <v>738</v>
      </c>
      <c r="D2" s="2" t="s">
        <v>739</v>
      </c>
      <c r="E2" s="2" t="s">
        <v>473</v>
      </c>
      <c r="F2" s="2" t="s">
        <v>472</v>
      </c>
      <c r="G2" s="2" t="s">
        <v>471</v>
      </c>
    </row>
    <row r="3" spans="1:8" x14ac:dyDescent="0.25">
      <c r="A3" s="2" t="s">
        <v>740</v>
      </c>
      <c r="B3" s="2" t="s">
        <v>741</v>
      </c>
      <c r="C3" s="2" t="s">
        <v>742</v>
      </c>
      <c r="D3" s="2" t="s">
        <v>743</v>
      </c>
      <c r="E3" s="2" t="s">
        <v>470</v>
      </c>
      <c r="F3" s="2" t="s">
        <v>469</v>
      </c>
      <c r="G3" s="2" t="s">
        <v>468</v>
      </c>
    </row>
    <row r="4" spans="1:8" x14ac:dyDescent="0.25">
      <c r="A4" s="2" t="s">
        <v>744</v>
      </c>
      <c r="B4" s="2" t="s">
        <v>745</v>
      </c>
      <c r="C4" s="2" t="s">
        <v>746</v>
      </c>
      <c r="D4" s="2" t="s">
        <v>747</v>
      </c>
      <c r="E4" s="2" t="s">
        <v>467</v>
      </c>
      <c r="F4" s="2" t="s">
        <v>466</v>
      </c>
      <c r="G4" s="2" t="s">
        <v>372</v>
      </c>
    </row>
    <row r="5" spans="1:8" x14ac:dyDescent="0.25">
      <c r="A5" s="2" t="s">
        <v>341</v>
      </c>
      <c r="B5" s="2" t="s">
        <v>748</v>
      </c>
      <c r="C5" s="2" t="s">
        <v>749</v>
      </c>
      <c r="D5" s="2" t="s">
        <v>750</v>
      </c>
      <c r="E5" s="2" t="s">
        <v>465</v>
      </c>
      <c r="F5" s="2" t="s">
        <v>464</v>
      </c>
      <c r="G5" s="2" t="s">
        <v>370</v>
      </c>
    </row>
    <row r="6" spans="1:8" x14ac:dyDescent="0.25">
      <c r="A6" s="2" t="s">
        <v>751</v>
      </c>
      <c r="B6" s="2" t="s">
        <v>752</v>
      </c>
      <c r="C6" s="2" t="s">
        <v>753</v>
      </c>
      <c r="D6" s="2" t="s">
        <v>754</v>
      </c>
      <c r="E6" s="2" t="s">
        <v>463</v>
      </c>
      <c r="F6" s="2" t="s">
        <v>198</v>
      </c>
      <c r="G6" s="2" t="s">
        <v>241</v>
      </c>
    </row>
    <row r="7" spans="1:8" x14ac:dyDescent="0.25">
      <c r="A7" s="2" t="s">
        <v>755</v>
      </c>
      <c r="B7" s="2" t="s">
        <v>756</v>
      </c>
      <c r="C7" s="2" t="s">
        <v>757</v>
      </c>
      <c r="D7" s="2" t="s">
        <v>758</v>
      </c>
      <c r="E7" s="2" t="s">
        <v>462</v>
      </c>
      <c r="F7" s="2" t="s">
        <v>197</v>
      </c>
      <c r="G7" s="2" t="s">
        <v>239</v>
      </c>
    </row>
    <row r="8" spans="1:8" x14ac:dyDescent="0.25">
      <c r="A8" s="2" t="s">
        <v>759</v>
      </c>
      <c r="B8" s="2" t="s">
        <v>760</v>
      </c>
      <c r="C8" s="2" t="s">
        <v>761</v>
      </c>
      <c r="D8" s="2" t="s">
        <v>762</v>
      </c>
      <c r="E8" s="2" t="s">
        <v>461</v>
      </c>
      <c r="F8" s="2" t="s">
        <v>421</v>
      </c>
      <c r="G8" s="2" t="s">
        <v>460</v>
      </c>
    </row>
    <row r="9" spans="1:8" x14ac:dyDescent="0.25">
      <c r="A9" s="2" t="s">
        <v>763</v>
      </c>
      <c r="B9" s="2" t="s">
        <v>764</v>
      </c>
      <c r="C9" s="2" t="s">
        <v>765</v>
      </c>
      <c r="D9" s="2" t="s">
        <v>766</v>
      </c>
      <c r="E9" s="2" t="s">
        <v>459</v>
      </c>
      <c r="F9" s="2" t="s">
        <v>418</v>
      </c>
      <c r="G9" s="2" t="s">
        <v>458</v>
      </c>
    </row>
    <row r="10" spans="1:8" x14ac:dyDescent="0.25">
      <c r="A10" s="2" t="s">
        <v>767</v>
      </c>
      <c r="B10" s="2" t="s">
        <v>768</v>
      </c>
      <c r="C10" s="2" t="s">
        <v>769</v>
      </c>
      <c r="D10" s="2" t="s">
        <v>770</v>
      </c>
      <c r="E10" s="2" t="s">
        <v>457</v>
      </c>
      <c r="F10" s="2" t="s">
        <v>456</v>
      </c>
      <c r="G10" s="2" t="s">
        <v>455</v>
      </c>
    </row>
    <row r="11" spans="1:8" x14ac:dyDescent="0.25">
      <c r="A11" s="2" t="s">
        <v>771</v>
      </c>
      <c r="B11" s="2" t="s">
        <v>772</v>
      </c>
      <c r="C11" s="2" t="s">
        <v>773</v>
      </c>
      <c r="D11" s="2" t="s">
        <v>774</v>
      </c>
      <c r="E11" s="2" t="s">
        <v>454</v>
      </c>
      <c r="F11" s="2" t="s">
        <v>453</v>
      </c>
      <c r="G11" s="2" t="s">
        <v>452</v>
      </c>
    </row>
    <row r="12" spans="1:8" x14ac:dyDescent="0.25">
      <c r="A12" s="2" t="s">
        <v>775</v>
      </c>
      <c r="B12" s="2" t="s">
        <v>776</v>
      </c>
      <c r="C12" s="2" t="s">
        <v>777</v>
      </c>
      <c r="D12" s="2" t="s">
        <v>778</v>
      </c>
      <c r="E12" s="2" t="s">
        <v>451</v>
      </c>
      <c r="F12" s="2" t="s">
        <v>246</v>
      </c>
      <c r="G12" s="2" t="s">
        <v>450</v>
      </c>
    </row>
    <row r="13" spans="1:8" x14ac:dyDescent="0.25">
      <c r="A13" s="2" t="s">
        <v>779</v>
      </c>
      <c r="B13" s="2" t="s">
        <v>780</v>
      </c>
      <c r="C13" s="2" t="s">
        <v>781</v>
      </c>
      <c r="D13" s="2" t="s">
        <v>782</v>
      </c>
      <c r="E13" s="2" t="s">
        <v>449</v>
      </c>
      <c r="F13" s="2" t="s">
        <v>244</v>
      </c>
      <c r="G13" s="2" t="s">
        <v>448</v>
      </c>
    </row>
    <row r="14" spans="1:8" x14ac:dyDescent="0.25">
      <c r="A14" s="2" t="s">
        <v>783</v>
      </c>
      <c r="B14" s="2" t="s">
        <v>784</v>
      </c>
      <c r="C14" s="2" t="s">
        <v>785</v>
      </c>
      <c r="D14" s="2" t="s">
        <v>786</v>
      </c>
      <c r="E14" s="2" t="s">
        <v>447</v>
      </c>
      <c r="F14" s="2" t="s">
        <v>446</v>
      </c>
      <c r="G14" s="2" t="s">
        <v>445</v>
      </c>
    </row>
    <row r="15" spans="1:8" x14ac:dyDescent="0.25">
      <c r="A15" s="2" t="s">
        <v>787</v>
      </c>
      <c r="B15" s="2" t="s">
        <v>788</v>
      </c>
      <c r="C15" s="2" t="s">
        <v>789</v>
      </c>
      <c r="D15" s="2" t="s">
        <v>790</v>
      </c>
      <c r="E15" s="2" t="s">
        <v>444</v>
      </c>
      <c r="F15" s="2" t="s">
        <v>443</v>
      </c>
      <c r="G15" s="2" t="s">
        <v>442</v>
      </c>
    </row>
    <row r="16" spans="1:8" x14ac:dyDescent="0.25">
      <c r="A16" s="2" t="s">
        <v>791</v>
      </c>
      <c r="B16" s="2" t="s">
        <v>792</v>
      </c>
      <c r="C16" s="2" t="s">
        <v>793</v>
      </c>
      <c r="D16" s="2" t="s">
        <v>794</v>
      </c>
      <c r="E16" s="2" t="s">
        <v>441</v>
      </c>
      <c r="F16" s="2" t="s">
        <v>440</v>
      </c>
      <c r="G16" s="2" t="s">
        <v>439</v>
      </c>
    </row>
    <row r="17" spans="1:7" x14ac:dyDescent="0.25">
      <c r="A17" s="2" t="s">
        <v>795</v>
      </c>
      <c r="B17" s="2" t="s">
        <v>796</v>
      </c>
      <c r="C17" s="2" t="s">
        <v>797</v>
      </c>
      <c r="D17" s="2" t="s">
        <v>798</v>
      </c>
      <c r="E17" s="2" t="s">
        <v>438</v>
      </c>
      <c r="F17" s="2" t="s">
        <v>437</v>
      </c>
      <c r="G17" s="2" t="s">
        <v>436</v>
      </c>
    </row>
    <row r="18" spans="1:7" x14ac:dyDescent="0.25">
      <c r="A18" s="2" t="s">
        <v>799</v>
      </c>
      <c r="B18" s="2" t="s">
        <v>800</v>
      </c>
      <c r="C18" s="2" t="s">
        <v>801</v>
      </c>
      <c r="D18" s="2" t="s">
        <v>802</v>
      </c>
      <c r="E18" s="2" t="s">
        <v>435</v>
      </c>
      <c r="F18" s="2" t="s">
        <v>434</v>
      </c>
      <c r="G18" s="2" t="s">
        <v>433</v>
      </c>
    </row>
    <row r="19" spans="1:7" x14ac:dyDescent="0.25">
      <c r="A19" s="2" t="s">
        <v>803</v>
      </c>
      <c r="B19" s="2" t="s">
        <v>804</v>
      </c>
      <c r="C19" s="2" t="s">
        <v>805</v>
      </c>
      <c r="D19" s="2" t="s">
        <v>806</v>
      </c>
      <c r="E19" s="2" t="s">
        <v>432</v>
      </c>
      <c r="F19" s="2" t="s">
        <v>431</v>
      </c>
      <c r="G19" s="2" t="s">
        <v>430</v>
      </c>
    </row>
    <row r="20" spans="1:7" x14ac:dyDescent="0.25">
      <c r="A20" s="2" t="s">
        <v>807</v>
      </c>
      <c r="B20" s="2" t="s">
        <v>808</v>
      </c>
      <c r="C20" s="2" t="s">
        <v>809</v>
      </c>
      <c r="D20" s="2" t="s">
        <v>1113</v>
      </c>
      <c r="E20" s="2" t="s">
        <v>429</v>
      </c>
      <c r="F20" s="2" t="s">
        <v>428</v>
      </c>
      <c r="G20" s="2" t="s">
        <v>427</v>
      </c>
    </row>
    <row r="21" spans="1:7" x14ac:dyDescent="0.25">
      <c r="A21" s="2" t="s">
        <v>810</v>
      </c>
      <c r="B21" s="2" t="s">
        <v>811</v>
      </c>
      <c r="C21" s="2" t="s">
        <v>812</v>
      </c>
      <c r="D21" s="2" t="s">
        <v>1114</v>
      </c>
      <c r="E21" s="2" t="s">
        <v>426</v>
      </c>
      <c r="F21" s="2" t="s">
        <v>425</v>
      </c>
      <c r="G21" s="2" t="s">
        <v>424</v>
      </c>
    </row>
    <row r="22" spans="1:7" x14ac:dyDescent="0.25">
      <c r="A22" s="2" t="s">
        <v>813</v>
      </c>
      <c r="B22" s="2" t="s">
        <v>814</v>
      </c>
      <c r="C22" s="2" t="s">
        <v>815</v>
      </c>
      <c r="D22" s="2" t="s">
        <v>816</v>
      </c>
      <c r="E22" s="2" t="s">
        <v>423</v>
      </c>
      <c r="F22" s="2" t="s">
        <v>422</v>
      </c>
      <c r="G22" s="2" t="s">
        <v>421</v>
      </c>
    </row>
    <row r="23" spans="1:7" x14ac:dyDescent="0.25">
      <c r="A23" s="2" t="s">
        <v>817</v>
      </c>
      <c r="B23" s="2" t="s">
        <v>818</v>
      </c>
      <c r="C23" s="2" t="s">
        <v>819</v>
      </c>
      <c r="E23" s="2" t="s">
        <v>420</v>
      </c>
      <c r="F23" s="2" t="s">
        <v>419</v>
      </c>
      <c r="G23" s="2" t="s">
        <v>418</v>
      </c>
    </row>
    <row r="24" spans="1:7" x14ac:dyDescent="0.25">
      <c r="A24" s="2" t="s">
        <v>820</v>
      </c>
      <c r="B24" s="2" t="s">
        <v>821</v>
      </c>
      <c r="C24" s="2" t="s">
        <v>822</v>
      </c>
      <c r="E24" s="2" t="s">
        <v>417</v>
      </c>
      <c r="F24" s="2" t="s">
        <v>198</v>
      </c>
      <c r="G24" s="2" t="s">
        <v>241</v>
      </c>
    </row>
    <row r="25" spans="1:7" x14ac:dyDescent="0.25">
      <c r="A25" s="2" t="s">
        <v>823</v>
      </c>
      <c r="B25" s="2" t="s">
        <v>824</v>
      </c>
      <c r="C25" s="2" t="s">
        <v>825</v>
      </c>
      <c r="E25" s="2" t="s">
        <v>416</v>
      </c>
      <c r="F25" s="2" t="s">
        <v>197</v>
      </c>
      <c r="G25" s="2" t="s">
        <v>239</v>
      </c>
    </row>
    <row r="26" spans="1:7" x14ac:dyDescent="0.25">
      <c r="A26" s="2" t="s">
        <v>826</v>
      </c>
      <c r="B26" s="2" t="s">
        <v>827</v>
      </c>
      <c r="C26" s="2" t="s">
        <v>828</v>
      </c>
      <c r="E26" s="2" t="s">
        <v>415</v>
      </c>
      <c r="F26" s="2" t="s">
        <v>414</v>
      </c>
      <c r="G26" s="2" t="s">
        <v>413</v>
      </c>
    </row>
    <row r="27" spans="1:7" x14ac:dyDescent="0.25">
      <c r="A27" s="2" t="s">
        <v>829</v>
      </c>
      <c r="B27" s="2" t="s">
        <v>830</v>
      </c>
      <c r="C27" s="2" t="s">
        <v>831</v>
      </c>
      <c r="E27" s="2" t="s">
        <v>412</v>
      </c>
      <c r="F27" s="2" t="s">
        <v>411</v>
      </c>
      <c r="G27" s="2" t="s">
        <v>410</v>
      </c>
    </row>
    <row r="28" spans="1:7" x14ac:dyDescent="0.25">
      <c r="A28" s="2" t="s">
        <v>832</v>
      </c>
      <c r="B28" s="2" t="s">
        <v>833</v>
      </c>
      <c r="C28" s="2" t="s">
        <v>834</v>
      </c>
      <c r="E28" s="2" t="s">
        <v>409</v>
      </c>
      <c r="F28" s="2" t="s">
        <v>242</v>
      </c>
      <c r="G28" s="2" t="s">
        <v>408</v>
      </c>
    </row>
    <row r="29" spans="1:7" x14ac:dyDescent="0.25">
      <c r="A29" s="2" t="s">
        <v>835</v>
      </c>
      <c r="B29" s="2" t="s">
        <v>836</v>
      </c>
      <c r="C29" s="2" t="s">
        <v>837</v>
      </c>
      <c r="E29" s="2" t="s">
        <v>407</v>
      </c>
      <c r="F29" s="2" t="s">
        <v>240</v>
      </c>
      <c r="G29" s="2" t="s">
        <v>406</v>
      </c>
    </row>
    <row r="30" spans="1:7" x14ac:dyDescent="0.25">
      <c r="A30" s="2" t="s">
        <v>838</v>
      </c>
      <c r="B30" s="2" t="s">
        <v>839</v>
      </c>
      <c r="C30" s="2" t="s">
        <v>840</v>
      </c>
      <c r="E30" s="2" t="s">
        <v>405</v>
      </c>
      <c r="F30" s="2" t="s">
        <v>404</v>
      </c>
      <c r="G30" s="2" t="s">
        <v>403</v>
      </c>
    </row>
    <row r="31" spans="1:7" x14ac:dyDescent="0.25">
      <c r="A31" s="2" t="s">
        <v>841</v>
      </c>
      <c r="B31" s="2" t="s">
        <v>842</v>
      </c>
      <c r="C31" s="2" t="s">
        <v>843</v>
      </c>
      <c r="E31" s="2" t="s">
        <v>402</v>
      </c>
      <c r="F31" s="2" t="s">
        <v>401</v>
      </c>
      <c r="G31" s="2" t="s">
        <v>400</v>
      </c>
    </row>
    <row r="32" spans="1:7" x14ac:dyDescent="0.25">
      <c r="A32" s="2" t="s">
        <v>844</v>
      </c>
      <c r="B32" s="2" t="s">
        <v>845</v>
      </c>
      <c r="C32" s="2" t="s">
        <v>846</v>
      </c>
      <c r="E32" s="2" t="s">
        <v>399</v>
      </c>
      <c r="F32" s="2" t="s">
        <v>398</v>
      </c>
      <c r="G32" s="2" t="s">
        <v>241</v>
      </c>
    </row>
    <row r="33" spans="1:7" x14ac:dyDescent="0.25">
      <c r="A33" s="2" t="s">
        <v>847</v>
      </c>
      <c r="B33" s="2" t="s">
        <v>848</v>
      </c>
      <c r="C33" s="2" t="s">
        <v>849</v>
      </c>
      <c r="E33" s="2" t="s">
        <v>397</v>
      </c>
      <c r="F33" s="2" t="s">
        <v>396</v>
      </c>
      <c r="G33" s="2" t="s">
        <v>239</v>
      </c>
    </row>
    <row r="34" spans="1:7" x14ac:dyDescent="0.25">
      <c r="A34" s="2" t="s">
        <v>850</v>
      </c>
      <c r="B34" s="2" t="s">
        <v>851</v>
      </c>
      <c r="C34" s="2" t="s">
        <v>852</v>
      </c>
      <c r="E34" s="2" t="s">
        <v>395</v>
      </c>
      <c r="F34" s="2" t="s">
        <v>226</v>
      </c>
      <c r="G34" s="2" t="s">
        <v>394</v>
      </c>
    </row>
    <row r="35" spans="1:7" x14ac:dyDescent="0.25">
      <c r="A35" s="2" t="s">
        <v>853</v>
      </c>
      <c r="B35" s="2" t="s">
        <v>854</v>
      </c>
      <c r="C35" s="2" t="s">
        <v>855</v>
      </c>
      <c r="E35" s="2" t="s">
        <v>393</v>
      </c>
      <c r="F35" s="2" t="s">
        <v>224</v>
      </c>
      <c r="G35" s="2" t="s">
        <v>392</v>
      </c>
    </row>
    <row r="36" spans="1:7" x14ac:dyDescent="0.25">
      <c r="A36" s="2" t="s">
        <v>856</v>
      </c>
      <c r="B36" s="2" t="s">
        <v>857</v>
      </c>
      <c r="C36" s="2" t="s">
        <v>858</v>
      </c>
      <c r="E36" s="2" t="s">
        <v>391</v>
      </c>
      <c r="F36" s="2" t="s">
        <v>390</v>
      </c>
      <c r="G36" s="2" t="s">
        <v>389</v>
      </c>
    </row>
    <row r="37" spans="1:7" x14ac:dyDescent="0.25">
      <c r="A37" s="2" t="s">
        <v>859</v>
      </c>
      <c r="B37" s="2" t="s">
        <v>860</v>
      </c>
      <c r="C37" s="2" t="s">
        <v>861</v>
      </c>
      <c r="E37" s="2" t="s">
        <v>388</v>
      </c>
      <c r="F37" s="2" t="s">
        <v>387</v>
      </c>
      <c r="G37" s="2" t="s">
        <v>386</v>
      </c>
    </row>
    <row r="38" spans="1:7" x14ac:dyDescent="0.25">
      <c r="A38" s="2" t="s">
        <v>862</v>
      </c>
      <c r="B38" s="2" t="s">
        <v>863</v>
      </c>
      <c r="C38" s="2" t="s">
        <v>864</v>
      </c>
      <c r="E38" s="2" t="s">
        <v>385</v>
      </c>
      <c r="F38" s="2" t="s">
        <v>384</v>
      </c>
      <c r="G38" s="2" t="s">
        <v>383</v>
      </c>
    </row>
    <row r="39" spans="1:7" x14ac:dyDescent="0.25">
      <c r="A39" s="2" t="s">
        <v>865</v>
      </c>
      <c r="B39" s="2" t="s">
        <v>866</v>
      </c>
      <c r="C39" s="2" t="s">
        <v>867</v>
      </c>
      <c r="E39" s="2" t="s">
        <v>382</v>
      </c>
      <c r="F39" s="2" t="s">
        <v>381</v>
      </c>
      <c r="G39" s="2" t="s">
        <v>380</v>
      </c>
    </row>
    <row r="40" spans="1:7" x14ac:dyDescent="0.25">
      <c r="A40" s="2" t="s">
        <v>868</v>
      </c>
      <c r="B40" s="2" t="s">
        <v>869</v>
      </c>
      <c r="C40" s="2" t="s">
        <v>870</v>
      </c>
      <c r="E40" s="2" t="s">
        <v>379</v>
      </c>
      <c r="F40" s="2" t="s">
        <v>378</v>
      </c>
      <c r="G40" s="2" t="s">
        <v>377</v>
      </c>
    </row>
    <row r="41" spans="1:7" x14ac:dyDescent="0.25">
      <c r="A41" s="2" t="s">
        <v>871</v>
      </c>
      <c r="B41" s="2" t="s">
        <v>872</v>
      </c>
      <c r="C41" s="2" t="s">
        <v>873</v>
      </c>
      <c r="E41" s="2" t="s">
        <v>376</v>
      </c>
      <c r="F41" s="2" t="s">
        <v>375</v>
      </c>
      <c r="G41" s="2" t="s">
        <v>374</v>
      </c>
    </row>
    <row r="42" spans="1:7" x14ac:dyDescent="0.25">
      <c r="A42" s="2" t="s">
        <v>874</v>
      </c>
      <c r="B42" s="2" t="s">
        <v>875</v>
      </c>
      <c r="C42" s="2" t="s">
        <v>876</v>
      </c>
      <c r="E42" s="2" t="s">
        <v>373</v>
      </c>
      <c r="F42" s="2" t="s">
        <v>216</v>
      </c>
      <c r="G42" s="2" t="s">
        <v>372</v>
      </c>
    </row>
    <row r="43" spans="1:7" x14ac:dyDescent="0.25">
      <c r="A43" s="2" t="s">
        <v>877</v>
      </c>
      <c r="B43" s="2" t="s">
        <v>878</v>
      </c>
      <c r="C43" s="2" t="s">
        <v>879</v>
      </c>
      <c r="E43" s="2" t="s">
        <v>371</v>
      </c>
      <c r="F43" s="2" t="s">
        <v>215</v>
      </c>
      <c r="G43" s="2" t="s">
        <v>370</v>
      </c>
    </row>
    <row r="44" spans="1:7" x14ac:dyDescent="0.25">
      <c r="A44" s="2" t="s">
        <v>880</v>
      </c>
      <c r="B44" s="2" t="s">
        <v>881</v>
      </c>
      <c r="C44" s="2" t="s">
        <v>879</v>
      </c>
      <c r="E44" s="2" t="s">
        <v>369</v>
      </c>
      <c r="F44" s="2" t="s">
        <v>306</v>
      </c>
      <c r="G44" s="2" t="s">
        <v>368</v>
      </c>
    </row>
    <row r="45" spans="1:7" x14ac:dyDescent="0.25">
      <c r="A45" s="2" t="s">
        <v>882</v>
      </c>
      <c r="B45" s="2" t="s">
        <v>883</v>
      </c>
      <c r="C45" s="2" t="s">
        <v>879</v>
      </c>
      <c r="E45" s="2" t="s">
        <v>367</v>
      </c>
      <c r="F45" s="2" t="s">
        <v>304</v>
      </c>
      <c r="G45" s="2" t="s">
        <v>366</v>
      </c>
    </row>
    <row r="46" spans="1:7" x14ac:dyDescent="0.25">
      <c r="A46" s="2" t="s">
        <v>884</v>
      </c>
      <c r="B46" s="2" t="s">
        <v>885</v>
      </c>
      <c r="C46" s="2" t="s">
        <v>879</v>
      </c>
      <c r="E46" s="2" t="s">
        <v>365</v>
      </c>
      <c r="F46" s="2" t="s">
        <v>364</v>
      </c>
      <c r="G46" s="2" t="s">
        <v>363</v>
      </c>
    </row>
    <row r="47" spans="1:7" x14ac:dyDescent="0.25">
      <c r="A47" s="2" t="s">
        <v>886</v>
      </c>
      <c r="B47" s="2" t="s">
        <v>887</v>
      </c>
      <c r="C47" s="2" t="s">
        <v>879</v>
      </c>
      <c r="E47" s="2" t="s">
        <v>362</v>
      </c>
      <c r="F47" s="2" t="s">
        <v>361</v>
      </c>
      <c r="G47" s="2" t="s">
        <v>360</v>
      </c>
    </row>
    <row r="48" spans="1:7" x14ac:dyDescent="0.25">
      <c r="A48" s="2" t="s">
        <v>888</v>
      </c>
      <c r="B48" s="2" t="s">
        <v>889</v>
      </c>
      <c r="C48" s="2" t="s">
        <v>879</v>
      </c>
      <c r="E48" s="2" t="s">
        <v>359</v>
      </c>
      <c r="F48" s="2" t="s">
        <v>358</v>
      </c>
      <c r="G48" s="2" t="s">
        <v>357</v>
      </c>
    </row>
    <row r="49" spans="1:7" x14ac:dyDescent="0.25">
      <c r="A49" s="2" t="s">
        <v>890</v>
      </c>
      <c r="B49" s="2" t="s">
        <v>891</v>
      </c>
      <c r="C49" s="2" t="s">
        <v>879</v>
      </c>
      <c r="E49" s="2" t="s">
        <v>356</v>
      </c>
      <c r="F49" s="2" t="s">
        <v>355</v>
      </c>
      <c r="G49" s="2" t="s">
        <v>354</v>
      </c>
    </row>
    <row r="50" spans="1:7" x14ac:dyDescent="0.25">
      <c r="A50" s="2" t="s">
        <v>892</v>
      </c>
      <c r="B50" s="2" t="s">
        <v>893</v>
      </c>
      <c r="C50" s="2" t="s">
        <v>879</v>
      </c>
      <c r="E50" s="2" t="s">
        <v>353</v>
      </c>
      <c r="F50" s="2" t="s">
        <v>352</v>
      </c>
      <c r="G50" s="2" t="s">
        <v>351</v>
      </c>
    </row>
    <row r="51" spans="1:7" x14ac:dyDescent="0.25">
      <c r="A51" s="2" t="s">
        <v>894</v>
      </c>
      <c r="B51" s="2" t="s">
        <v>895</v>
      </c>
      <c r="C51" s="2" t="s">
        <v>879</v>
      </c>
      <c r="E51" s="2" t="s">
        <v>350</v>
      </c>
      <c r="F51" s="2" t="s">
        <v>349</v>
      </c>
      <c r="G51" s="2" t="s">
        <v>348</v>
      </c>
    </row>
    <row r="52" spans="1:7" x14ac:dyDescent="0.25">
      <c r="A52" s="2" t="s">
        <v>896</v>
      </c>
      <c r="B52" s="2" t="s">
        <v>897</v>
      </c>
      <c r="C52" s="2" t="s">
        <v>879</v>
      </c>
      <c r="E52" s="2" t="s">
        <v>347</v>
      </c>
      <c r="F52" s="2" t="s">
        <v>230</v>
      </c>
      <c r="G52" s="2" t="s">
        <v>346</v>
      </c>
    </row>
    <row r="53" spans="1:7" x14ac:dyDescent="0.25">
      <c r="A53" s="2" t="s">
        <v>898</v>
      </c>
      <c r="B53" s="2" t="s">
        <v>899</v>
      </c>
      <c r="C53" s="2" t="s">
        <v>879</v>
      </c>
      <c r="E53" s="2" t="s">
        <v>345</v>
      </c>
      <c r="F53" s="2" t="s">
        <v>228</v>
      </c>
      <c r="G53" s="2" t="s">
        <v>344</v>
      </c>
    </row>
    <row r="54" spans="1:7" x14ac:dyDescent="0.25">
      <c r="A54" s="2" t="s">
        <v>900</v>
      </c>
      <c r="B54" s="2" t="s">
        <v>901</v>
      </c>
      <c r="C54" s="2" t="s">
        <v>879</v>
      </c>
      <c r="E54" s="2" t="s">
        <v>343</v>
      </c>
      <c r="F54" s="2" t="s">
        <v>222</v>
      </c>
      <c r="G54" s="2" t="s">
        <v>342</v>
      </c>
    </row>
    <row r="55" spans="1:7" x14ac:dyDescent="0.25">
      <c r="A55" s="2" t="s">
        <v>902</v>
      </c>
      <c r="B55" s="2" t="s">
        <v>903</v>
      </c>
      <c r="C55" s="2" t="s">
        <v>879</v>
      </c>
      <c r="E55" s="2" t="s">
        <v>340</v>
      </c>
      <c r="F55" s="2" t="s">
        <v>220</v>
      </c>
      <c r="G55" s="2" t="s">
        <v>339</v>
      </c>
    </row>
    <row r="56" spans="1:7" x14ac:dyDescent="0.25">
      <c r="A56" s="2" t="s">
        <v>904</v>
      </c>
      <c r="B56" s="2" t="s">
        <v>905</v>
      </c>
      <c r="C56" s="2" t="s">
        <v>879</v>
      </c>
      <c r="F56" s="2" t="s">
        <v>214</v>
      </c>
      <c r="G56" s="2" t="s">
        <v>338</v>
      </c>
    </row>
    <row r="57" spans="1:7" x14ac:dyDescent="0.25">
      <c r="A57" s="2" t="s">
        <v>906</v>
      </c>
      <c r="B57" s="2" t="s">
        <v>907</v>
      </c>
      <c r="C57" s="2" t="s">
        <v>879</v>
      </c>
      <c r="F57" s="2" t="s">
        <v>213</v>
      </c>
      <c r="G57" s="2" t="s">
        <v>337</v>
      </c>
    </row>
    <row r="58" spans="1:7" x14ac:dyDescent="0.25">
      <c r="A58" s="2" t="s">
        <v>908</v>
      </c>
      <c r="B58" s="2" t="s">
        <v>909</v>
      </c>
      <c r="C58" s="2" t="s">
        <v>879</v>
      </c>
      <c r="F58" s="2" t="s">
        <v>336</v>
      </c>
      <c r="G58" s="2" t="s">
        <v>335</v>
      </c>
    </row>
    <row r="59" spans="1:7" x14ac:dyDescent="0.25">
      <c r="A59" s="2" t="s">
        <v>910</v>
      </c>
      <c r="B59" s="2" t="s">
        <v>911</v>
      </c>
      <c r="C59" s="2" t="s">
        <v>879</v>
      </c>
      <c r="F59" s="2" t="s">
        <v>334</v>
      </c>
      <c r="G59" s="2" t="s">
        <v>333</v>
      </c>
    </row>
    <row r="60" spans="1:7" x14ac:dyDescent="0.25">
      <c r="A60" s="2" t="s">
        <v>912</v>
      </c>
      <c r="B60" s="2" t="s">
        <v>913</v>
      </c>
      <c r="C60" s="2" t="s">
        <v>879</v>
      </c>
      <c r="F60" s="2" t="s">
        <v>332</v>
      </c>
      <c r="G60" s="2" t="s">
        <v>331</v>
      </c>
    </row>
    <row r="61" spans="1:7" x14ac:dyDescent="0.25">
      <c r="A61" s="2" t="s">
        <v>914</v>
      </c>
      <c r="B61" s="2" t="s">
        <v>915</v>
      </c>
      <c r="C61" s="2" t="s">
        <v>879</v>
      </c>
      <c r="F61" s="2" t="s">
        <v>330</v>
      </c>
      <c r="G61" s="2" t="s">
        <v>329</v>
      </c>
    </row>
    <row r="62" spans="1:7" x14ac:dyDescent="0.25">
      <c r="A62" s="2" t="s">
        <v>916</v>
      </c>
      <c r="B62" s="2" t="s">
        <v>917</v>
      </c>
      <c r="C62" s="2" t="s">
        <v>879</v>
      </c>
      <c r="F62" s="2" t="s">
        <v>328</v>
      </c>
      <c r="G62" s="2" t="s">
        <v>327</v>
      </c>
    </row>
    <row r="63" spans="1:7" x14ac:dyDescent="0.25">
      <c r="A63" s="2" t="s">
        <v>918</v>
      </c>
      <c r="B63" s="2" t="s">
        <v>919</v>
      </c>
      <c r="C63" s="2" t="s">
        <v>879</v>
      </c>
      <c r="F63" s="2" t="s">
        <v>326</v>
      </c>
      <c r="G63" s="2" t="s">
        <v>325</v>
      </c>
    </row>
    <row r="64" spans="1:7" x14ac:dyDescent="0.25">
      <c r="A64" s="2" t="s">
        <v>920</v>
      </c>
      <c r="B64" s="2" t="s">
        <v>921</v>
      </c>
      <c r="C64" s="2" t="s">
        <v>879</v>
      </c>
      <c r="F64" s="2" t="s">
        <v>324</v>
      </c>
      <c r="G64" s="2" t="s">
        <v>323</v>
      </c>
    </row>
    <row r="65" spans="1:7" x14ac:dyDescent="0.25">
      <c r="A65" s="2" t="s">
        <v>922</v>
      </c>
      <c r="B65" s="2" t="s">
        <v>923</v>
      </c>
      <c r="C65" s="2" t="s">
        <v>879</v>
      </c>
      <c r="F65" s="2" t="s">
        <v>322</v>
      </c>
      <c r="G65" s="2" t="s">
        <v>321</v>
      </c>
    </row>
    <row r="66" spans="1:7" x14ac:dyDescent="0.25">
      <c r="A66" s="2" t="s">
        <v>924</v>
      </c>
      <c r="B66" s="2" t="s">
        <v>925</v>
      </c>
      <c r="C66" s="2" t="s">
        <v>879</v>
      </c>
      <c r="F66" s="2" t="s">
        <v>208</v>
      </c>
      <c r="G66" s="2" t="s">
        <v>320</v>
      </c>
    </row>
    <row r="67" spans="1:7" x14ac:dyDescent="0.25">
      <c r="A67" s="2" t="s">
        <v>926</v>
      </c>
      <c r="B67" s="2" t="s">
        <v>927</v>
      </c>
      <c r="C67" s="2" t="s">
        <v>879</v>
      </c>
      <c r="F67" s="2" t="s">
        <v>207</v>
      </c>
      <c r="G67" s="2" t="s">
        <v>319</v>
      </c>
    </row>
    <row r="68" spans="1:7" x14ac:dyDescent="0.25">
      <c r="A68" s="2" t="s">
        <v>928</v>
      </c>
      <c r="B68" s="2" t="s">
        <v>929</v>
      </c>
      <c r="C68" s="2" t="s">
        <v>879</v>
      </c>
      <c r="F68" s="2" t="s">
        <v>246</v>
      </c>
      <c r="G68" s="2" t="s">
        <v>318</v>
      </c>
    </row>
    <row r="69" spans="1:7" x14ac:dyDescent="0.25">
      <c r="A69" s="2" t="s">
        <v>930</v>
      </c>
      <c r="B69" s="2" t="s">
        <v>931</v>
      </c>
      <c r="C69" s="2" t="s">
        <v>879</v>
      </c>
      <c r="F69" s="2" t="s">
        <v>244</v>
      </c>
      <c r="G69" s="2" t="s">
        <v>317</v>
      </c>
    </row>
    <row r="70" spans="1:7" x14ac:dyDescent="0.25">
      <c r="A70" s="2" t="s">
        <v>932</v>
      </c>
      <c r="B70" s="2" t="s">
        <v>933</v>
      </c>
      <c r="C70" s="2" t="s">
        <v>879</v>
      </c>
      <c r="F70" s="2" t="s">
        <v>316</v>
      </c>
      <c r="G70" s="2" t="s">
        <v>315</v>
      </c>
    </row>
    <row r="71" spans="1:7" x14ac:dyDescent="0.25">
      <c r="A71" s="2" t="s">
        <v>934</v>
      </c>
      <c r="B71" s="2" t="s">
        <v>935</v>
      </c>
      <c r="C71" s="2" t="s">
        <v>879</v>
      </c>
      <c r="F71" s="2" t="s">
        <v>314</v>
      </c>
      <c r="G71" s="2" t="s">
        <v>313</v>
      </c>
    </row>
    <row r="72" spans="1:7" x14ac:dyDescent="0.25">
      <c r="A72" s="2" t="s">
        <v>936</v>
      </c>
      <c r="B72" s="2" t="s">
        <v>937</v>
      </c>
      <c r="C72" s="2" t="s">
        <v>879</v>
      </c>
      <c r="F72" s="2" t="s">
        <v>312</v>
      </c>
      <c r="G72" s="2" t="s">
        <v>311</v>
      </c>
    </row>
    <row r="73" spans="1:7" x14ac:dyDescent="0.25">
      <c r="A73" s="2" t="s">
        <v>938</v>
      </c>
      <c r="B73" s="2" t="s">
        <v>939</v>
      </c>
      <c r="C73" s="2" t="s">
        <v>879</v>
      </c>
      <c r="F73" s="2" t="s">
        <v>310</v>
      </c>
      <c r="G73" s="2" t="s">
        <v>309</v>
      </c>
    </row>
    <row r="74" spans="1:7" x14ac:dyDescent="0.25">
      <c r="A74" s="2" t="s">
        <v>940</v>
      </c>
      <c r="B74" s="2" t="s">
        <v>941</v>
      </c>
      <c r="C74" s="2" t="s">
        <v>879</v>
      </c>
      <c r="F74" s="2" t="s">
        <v>308</v>
      </c>
      <c r="G74" s="2" t="s">
        <v>297</v>
      </c>
    </row>
    <row r="75" spans="1:7" x14ac:dyDescent="0.25">
      <c r="A75" s="2" t="s">
        <v>942</v>
      </c>
      <c r="B75" s="2" t="s">
        <v>943</v>
      </c>
      <c r="C75" s="2" t="s">
        <v>879</v>
      </c>
      <c r="F75" s="2" t="s">
        <v>307</v>
      </c>
      <c r="G75" s="2" t="s">
        <v>295</v>
      </c>
    </row>
    <row r="76" spans="1:7" x14ac:dyDescent="0.25">
      <c r="A76" s="2" t="s">
        <v>944</v>
      </c>
      <c r="B76" s="2" t="s">
        <v>945</v>
      </c>
      <c r="C76" s="2" t="s">
        <v>879</v>
      </c>
      <c r="F76" s="2" t="s">
        <v>306</v>
      </c>
      <c r="G76" s="2" t="s">
        <v>305</v>
      </c>
    </row>
    <row r="77" spans="1:7" x14ac:dyDescent="0.25">
      <c r="A77" s="2" t="s">
        <v>946</v>
      </c>
      <c r="B77" s="2" t="s">
        <v>947</v>
      </c>
      <c r="C77" s="2" t="s">
        <v>879</v>
      </c>
      <c r="F77" s="2" t="s">
        <v>304</v>
      </c>
      <c r="G77" s="2" t="s">
        <v>303</v>
      </c>
    </row>
    <row r="78" spans="1:7" x14ac:dyDescent="0.25">
      <c r="A78" s="2" t="s">
        <v>948</v>
      </c>
      <c r="B78" s="2" t="s">
        <v>949</v>
      </c>
      <c r="C78" s="2" t="s">
        <v>879</v>
      </c>
      <c r="F78" s="2" t="s">
        <v>302</v>
      </c>
      <c r="G78" s="2" t="s">
        <v>301</v>
      </c>
    </row>
    <row r="79" spans="1:7" x14ac:dyDescent="0.25">
      <c r="A79" s="2" t="s">
        <v>948</v>
      </c>
      <c r="B79" s="2" t="s">
        <v>950</v>
      </c>
      <c r="C79" s="2" t="s">
        <v>879</v>
      </c>
      <c r="F79" s="2" t="s">
        <v>300</v>
      </c>
      <c r="G79" s="2" t="s">
        <v>299</v>
      </c>
    </row>
    <row r="80" spans="1:7" x14ac:dyDescent="0.25">
      <c r="A80" s="2" t="s">
        <v>951</v>
      </c>
      <c r="B80" s="2" t="s">
        <v>952</v>
      </c>
      <c r="C80" s="2" t="s">
        <v>879</v>
      </c>
      <c r="F80" s="2" t="s">
        <v>298</v>
      </c>
      <c r="G80" s="2" t="s">
        <v>297</v>
      </c>
    </row>
    <row r="81" spans="1:7" x14ac:dyDescent="0.25">
      <c r="A81" s="2" t="s">
        <v>953</v>
      </c>
      <c r="B81" s="2" t="s">
        <v>954</v>
      </c>
      <c r="C81" s="2" t="s">
        <v>879</v>
      </c>
      <c r="F81" s="2" t="s">
        <v>296</v>
      </c>
      <c r="G81" s="2" t="s">
        <v>295</v>
      </c>
    </row>
    <row r="82" spans="1:7" x14ac:dyDescent="0.25">
      <c r="A82" s="2" t="s">
        <v>955</v>
      </c>
      <c r="B82" s="2" t="s">
        <v>956</v>
      </c>
      <c r="C82" s="2" t="s">
        <v>879</v>
      </c>
      <c r="F82" s="2" t="s">
        <v>294</v>
      </c>
      <c r="G82" s="2" t="s">
        <v>293</v>
      </c>
    </row>
    <row r="83" spans="1:7" x14ac:dyDescent="0.25">
      <c r="A83" s="2" t="s">
        <v>957</v>
      </c>
      <c r="B83" s="2" t="s">
        <v>958</v>
      </c>
      <c r="C83" s="2" t="s">
        <v>879</v>
      </c>
      <c r="F83" s="2" t="s">
        <v>292</v>
      </c>
      <c r="G83" s="2" t="s">
        <v>291</v>
      </c>
    </row>
    <row r="84" spans="1:7" x14ac:dyDescent="0.25">
      <c r="A84" s="2" t="s">
        <v>959</v>
      </c>
      <c r="B84" s="2" t="s">
        <v>960</v>
      </c>
      <c r="C84" s="2" t="s">
        <v>879</v>
      </c>
      <c r="F84" s="2" t="s">
        <v>290</v>
      </c>
      <c r="G84" s="2" t="s">
        <v>289</v>
      </c>
    </row>
    <row r="85" spans="1:7" x14ac:dyDescent="0.25">
      <c r="A85" s="2" t="s">
        <v>961</v>
      </c>
      <c r="B85" s="2" t="s">
        <v>962</v>
      </c>
      <c r="C85" s="2" t="s">
        <v>879</v>
      </c>
      <c r="F85" s="2" t="s">
        <v>288</v>
      </c>
      <c r="G85" s="2" t="s">
        <v>287</v>
      </c>
    </row>
    <row r="86" spans="1:7" x14ac:dyDescent="0.25">
      <c r="A86" s="2" t="s">
        <v>963</v>
      </c>
      <c r="B86" s="2" t="s">
        <v>964</v>
      </c>
      <c r="C86" s="2" t="s">
        <v>879</v>
      </c>
      <c r="F86" s="2" t="s">
        <v>286</v>
      </c>
      <c r="G86" s="2" t="s">
        <v>285</v>
      </c>
    </row>
    <row r="87" spans="1:7" x14ac:dyDescent="0.25">
      <c r="A87" s="2" t="s">
        <v>965</v>
      </c>
      <c r="B87" s="2" t="s">
        <v>966</v>
      </c>
      <c r="C87" s="2" t="s">
        <v>879</v>
      </c>
      <c r="F87" s="2" t="s">
        <v>284</v>
      </c>
      <c r="G87" s="2" t="s">
        <v>283</v>
      </c>
    </row>
    <row r="88" spans="1:7" x14ac:dyDescent="0.25">
      <c r="A88" s="2" t="s">
        <v>967</v>
      </c>
      <c r="B88" s="2" t="s">
        <v>968</v>
      </c>
      <c r="C88" s="2" t="s">
        <v>879</v>
      </c>
      <c r="F88" s="2" t="s">
        <v>282</v>
      </c>
      <c r="G88" s="2" t="s">
        <v>281</v>
      </c>
    </row>
    <row r="89" spans="1:7" x14ac:dyDescent="0.25">
      <c r="A89" s="2" t="s">
        <v>969</v>
      </c>
      <c r="B89" s="2" t="s">
        <v>970</v>
      </c>
      <c r="C89" s="2" t="s">
        <v>879</v>
      </c>
      <c r="F89" s="2" t="s">
        <v>280</v>
      </c>
      <c r="G89" s="2" t="s">
        <v>279</v>
      </c>
    </row>
    <row r="90" spans="1:7" x14ac:dyDescent="0.25">
      <c r="A90" s="2" t="s">
        <v>971</v>
      </c>
      <c r="B90" s="2" t="s">
        <v>972</v>
      </c>
      <c r="C90" s="2" t="s">
        <v>879</v>
      </c>
      <c r="F90" s="2" t="s">
        <v>278</v>
      </c>
      <c r="G90" s="2" t="s">
        <v>277</v>
      </c>
    </row>
    <row r="91" spans="1:7" x14ac:dyDescent="0.25">
      <c r="A91" s="2" t="s">
        <v>973</v>
      </c>
      <c r="B91" s="2" t="s">
        <v>974</v>
      </c>
      <c r="C91" s="2" t="s">
        <v>879</v>
      </c>
      <c r="F91" s="2" t="s">
        <v>276</v>
      </c>
      <c r="G91" s="2" t="s">
        <v>275</v>
      </c>
    </row>
    <row r="92" spans="1:7" x14ac:dyDescent="0.25">
      <c r="A92" s="2" t="s">
        <v>975</v>
      </c>
      <c r="B92" s="2" t="s">
        <v>976</v>
      </c>
      <c r="C92" s="2" t="s">
        <v>879</v>
      </c>
      <c r="F92" s="2" t="s">
        <v>274</v>
      </c>
      <c r="G92" s="2" t="s">
        <v>273</v>
      </c>
    </row>
    <row r="93" spans="1:7" x14ac:dyDescent="0.25">
      <c r="A93" s="2" t="s">
        <v>977</v>
      </c>
      <c r="B93" s="2" t="s">
        <v>978</v>
      </c>
      <c r="C93" s="2" t="s">
        <v>879</v>
      </c>
      <c r="F93" s="2" t="s">
        <v>272</v>
      </c>
      <c r="G93" s="2" t="s">
        <v>271</v>
      </c>
    </row>
    <row r="94" spans="1:7" x14ac:dyDescent="0.25">
      <c r="A94" s="2" t="s">
        <v>979</v>
      </c>
      <c r="B94" s="2" t="s">
        <v>980</v>
      </c>
      <c r="C94" s="2" t="s">
        <v>879</v>
      </c>
      <c r="F94" s="2" t="s">
        <v>270</v>
      </c>
      <c r="G94" s="2" t="s">
        <v>269</v>
      </c>
    </row>
    <row r="95" spans="1:7" x14ac:dyDescent="0.25">
      <c r="A95" s="2" t="s">
        <v>981</v>
      </c>
      <c r="B95" s="2" t="s">
        <v>982</v>
      </c>
      <c r="C95" s="2" t="s">
        <v>879</v>
      </c>
      <c r="F95" s="2" t="s">
        <v>268</v>
      </c>
      <c r="G95" s="2" t="s">
        <v>267</v>
      </c>
    </row>
    <row r="96" spans="1:7" x14ac:dyDescent="0.25">
      <c r="A96" s="2" t="s">
        <v>983</v>
      </c>
      <c r="B96" s="2" t="s">
        <v>984</v>
      </c>
      <c r="C96" s="2" t="s">
        <v>879</v>
      </c>
      <c r="F96" s="2" t="s">
        <v>266</v>
      </c>
      <c r="G96" s="2" t="s">
        <v>265</v>
      </c>
    </row>
    <row r="97" spans="1:7" x14ac:dyDescent="0.25">
      <c r="A97" s="2" t="s">
        <v>985</v>
      </c>
      <c r="B97" s="2" t="s">
        <v>986</v>
      </c>
      <c r="C97" s="2" t="s">
        <v>879</v>
      </c>
      <c r="F97" s="2" t="s">
        <v>264</v>
      </c>
      <c r="G97" s="2" t="s">
        <v>263</v>
      </c>
    </row>
    <row r="98" spans="1:7" x14ac:dyDescent="0.25">
      <c r="A98" s="2" t="s">
        <v>987</v>
      </c>
      <c r="B98" s="2" t="s">
        <v>988</v>
      </c>
      <c r="C98" s="2" t="s">
        <v>879</v>
      </c>
      <c r="F98" s="2" t="s">
        <v>262</v>
      </c>
      <c r="G98" s="2" t="s">
        <v>261</v>
      </c>
    </row>
    <row r="99" spans="1:7" x14ac:dyDescent="0.25">
      <c r="A99" s="2" t="s">
        <v>989</v>
      </c>
      <c r="B99" s="2" t="s">
        <v>990</v>
      </c>
      <c r="C99" s="2" t="s">
        <v>879</v>
      </c>
      <c r="F99" s="2" t="s">
        <v>260</v>
      </c>
      <c r="G99" s="2" t="s">
        <v>259</v>
      </c>
    </row>
    <row r="100" spans="1:7" x14ac:dyDescent="0.25">
      <c r="A100" s="2" t="s">
        <v>991</v>
      </c>
      <c r="B100" s="2" t="s">
        <v>992</v>
      </c>
      <c r="C100" s="2" t="s">
        <v>879</v>
      </c>
      <c r="F100" s="2" t="s">
        <v>258</v>
      </c>
      <c r="G100" s="2" t="s">
        <v>257</v>
      </c>
    </row>
    <row r="101" spans="1:7" x14ac:dyDescent="0.25">
      <c r="A101" s="2" t="s">
        <v>993</v>
      </c>
      <c r="B101" s="2" t="s">
        <v>994</v>
      </c>
      <c r="C101" s="2" t="s">
        <v>879</v>
      </c>
      <c r="F101" s="2" t="s">
        <v>256</v>
      </c>
      <c r="G101" s="2" t="s">
        <v>255</v>
      </c>
    </row>
    <row r="102" spans="1:7" x14ac:dyDescent="0.25">
      <c r="A102" s="2" t="s">
        <v>995</v>
      </c>
      <c r="B102" s="2" t="s">
        <v>996</v>
      </c>
      <c r="C102" s="2" t="s">
        <v>879</v>
      </c>
      <c r="F102" s="2" t="s">
        <v>254</v>
      </c>
      <c r="G102" s="2" t="s">
        <v>253</v>
      </c>
    </row>
    <row r="103" spans="1:7" x14ac:dyDescent="0.25">
      <c r="A103" s="2" t="s">
        <v>997</v>
      </c>
      <c r="B103" s="2" t="s">
        <v>998</v>
      </c>
      <c r="C103" s="2" t="s">
        <v>879</v>
      </c>
      <c r="F103" s="2" t="s">
        <v>252</v>
      </c>
      <c r="G103" s="2" t="s">
        <v>251</v>
      </c>
    </row>
    <row r="104" spans="1:7" x14ac:dyDescent="0.25">
      <c r="A104" s="2" t="s">
        <v>999</v>
      </c>
      <c r="B104" s="2" t="s">
        <v>879</v>
      </c>
      <c r="C104" s="2" t="s">
        <v>879</v>
      </c>
      <c r="F104" s="2" t="s">
        <v>250</v>
      </c>
      <c r="G104" s="2" t="s">
        <v>249</v>
      </c>
    </row>
    <row r="105" spans="1:7" x14ac:dyDescent="0.25">
      <c r="A105" s="2" t="s">
        <v>1000</v>
      </c>
      <c r="B105" s="2" t="s">
        <v>879</v>
      </c>
      <c r="C105" s="2" t="s">
        <v>879</v>
      </c>
      <c r="F105" s="2" t="s">
        <v>248</v>
      </c>
      <c r="G105" s="2" t="s">
        <v>247</v>
      </c>
    </row>
    <row r="106" spans="1:7" x14ac:dyDescent="0.25">
      <c r="A106" s="2" t="s">
        <v>1001</v>
      </c>
      <c r="B106" s="2" t="s">
        <v>879</v>
      </c>
      <c r="C106" s="2" t="s">
        <v>879</v>
      </c>
      <c r="F106" s="2" t="s">
        <v>246</v>
      </c>
      <c r="G106" s="2" t="s">
        <v>245</v>
      </c>
    </row>
    <row r="107" spans="1:7" x14ac:dyDescent="0.25">
      <c r="A107" s="2" t="s">
        <v>1002</v>
      </c>
      <c r="B107" s="2" t="s">
        <v>879</v>
      </c>
      <c r="C107" s="2" t="s">
        <v>879</v>
      </c>
      <c r="F107" s="2" t="s">
        <v>244</v>
      </c>
      <c r="G107" s="2" t="s">
        <v>243</v>
      </c>
    </row>
    <row r="108" spans="1:7" x14ac:dyDescent="0.25">
      <c r="A108" s="2" t="s">
        <v>1003</v>
      </c>
      <c r="B108" s="2" t="s">
        <v>879</v>
      </c>
      <c r="C108" s="2" t="s">
        <v>879</v>
      </c>
      <c r="F108" s="2" t="s">
        <v>242</v>
      </c>
      <c r="G108" s="2" t="s">
        <v>241</v>
      </c>
    </row>
    <row r="109" spans="1:7" x14ac:dyDescent="0.25">
      <c r="A109" s="2" t="s">
        <v>1004</v>
      </c>
      <c r="B109" s="2" t="s">
        <v>879</v>
      </c>
      <c r="C109" s="2" t="s">
        <v>879</v>
      </c>
      <c r="F109" s="2" t="s">
        <v>240</v>
      </c>
      <c r="G109" s="2" t="s">
        <v>239</v>
      </c>
    </row>
    <row r="110" spans="1:7" x14ac:dyDescent="0.25">
      <c r="A110" s="2" t="s">
        <v>1005</v>
      </c>
      <c r="B110" s="2" t="s">
        <v>879</v>
      </c>
      <c r="C110" s="2" t="s">
        <v>879</v>
      </c>
      <c r="F110" s="2" t="s">
        <v>238</v>
      </c>
      <c r="G110" s="2" t="s">
        <v>237</v>
      </c>
    </row>
    <row r="111" spans="1:7" x14ac:dyDescent="0.25">
      <c r="A111" s="2" t="s">
        <v>1006</v>
      </c>
      <c r="B111" s="2" t="s">
        <v>879</v>
      </c>
      <c r="C111" s="2" t="s">
        <v>879</v>
      </c>
      <c r="F111" s="2" t="s">
        <v>236</v>
      </c>
      <c r="G111" s="2" t="s">
        <v>235</v>
      </c>
    </row>
    <row r="112" spans="1:7" x14ac:dyDescent="0.25">
      <c r="A112" s="2" t="s">
        <v>1007</v>
      </c>
      <c r="B112" s="2" t="s">
        <v>879</v>
      </c>
      <c r="C112" s="2" t="s">
        <v>879</v>
      </c>
      <c r="F112" s="2" t="s">
        <v>234</v>
      </c>
      <c r="G112" s="2" t="s">
        <v>233</v>
      </c>
    </row>
    <row r="113" spans="1:7" x14ac:dyDescent="0.25">
      <c r="A113" s="2" t="s">
        <v>1008</v>
      </c>
      <c r="B113" s="2" t="s">
        <v>879</v>
      </c>
      <c r="C113" s="2" t="s">
        <v>879</v>
      </c>
      <c r="F113" s="2" t="s">
        <v>232</v>
      </c>
      <c r="G113" s="2" t="s">
        <v>231</v>
      </c>
    </row>
    <row r="114" spans="1:7" x14ac:dyDescent="0.25">
      <c r="A114" s="2" t="s">
        <v>1009</v>
      </c>
      <c r="B114" s="2" t="s">
        <v>879</v>
      </c>
      <c r="C114" s="2" t="s">
        <v>879</v>
      </c>
      <c r="F114" s="2" t="s">
        <v>230</v>
      </c>
      <c r="G114" s="2" t="s">
        <v>229</v>
      </c>
    </row>
    <row r="115" spans="1:7" x14ac:dyDescent="0.25">
      <c r="A115" s="2" t="s">
        <v>1010</v>
      </c>
      <c r="B115" s="2" t="s">
        <v>879</v>
      </c>
      <c r="C115" s="2" t="s">
        <v>879</v>
      </c>
      <c r="F115" s="2" t="s">
        <v>228</v>
      </c>
      <c r="G115" s="2" t="s">
        <v>227</v>
      </c>
    </row>
    <row r="116" spans="1:7" x14ac:dyDescent="0.25">
      <c r="A116" s="2" t="s">
        <v>1011</v>
      </c>
      <c r="B116" s="2" t="s">
        <v>879</v>
      </c>
      <c r="C116" s="2" t="s">
        <v>879</v>
      </c>
      <c r="F116" s="2" t="s">
        <v>226</v>
      </c>
      <c r="G116" s="2" t="s">
        <v>225</v>
      </c>
    </row>
    <row r="117" spans="1:7" x14ac:dyDescent="0.25">
      <c r="A117" s="2" t="s">
        <v>1012</v>
      </c>
      <c r="B117" s="2" t="s">
        <v>879</v>
      </c>
      <c r="C117" s="2" t="s">
        <v>879</v>
      </c>
      <c r="F117" s="2" t="s">
        <v>224</v>
      </c>
      <c r="G117" s="2" t="s">
        <v>223</v>
      </c>
    </row>
    <row r="118" spans="1:7" x14ac:dyDescent="0.25">
      <c r="A118" s="2" t="s">
        <v>1013</v>
      </c>
      <c r="B118" s="2" t="s">
        <v>879</v>
      </c>
      <c r="C118" s="2" t="s">
        <v>879</v>
      </c>
      <c r="F118" s="2" t="s">
        <v>222</v>
      </c>
      <c r="G118" s="2" t="s">
        <v>221</v>
      </c>
    </row>
    <row r="119" spans="1:7" x14ac:dyDescent="0.25">
      <c r="A119" s="2" t="s">
        <v>1014</v>
      </c>
      <c r="B119" s="2" t="s">
        <v>879</v>
      </c>
      <c r="C119" s="2" t="s">
        <v>879</v>
      </c>
      <c r="F119" s="2" t="s">
        <v>220</v>
      </c>
      <c r="G119" s="2" t="s">
        <v>219</v>
      </c>
    </row>
    <row r="120" spans="1:7" x14ac:dyDescent="0.25">
      <c r="A120" s="2" t="s">
        <v>1015</v>
      </c>
      <c r="B120" s="2" t="s">
        <v>879</v>
      </c>
      <c r="C120" s="2" t="s">
        <v>879</v>
      </c>
      <c r="F120" s="2" t="s">
        <v>218</v>
      </c>
    </row>
    <row r="121" spans="1:7" x14ac:dyDescent="0.25">
      <c r="A121" s="2" t="s">
        <v>1016</v>
      </c>
      <c r="B121" s="2" t="s">
        <v>879</v>
      </c>
      <c r="C121" s="2" t="s">
        <v>879</v>
      </c>
      <c r="F121" s="2" t="s">
        <v>217</v>
      </c>
    </row>
    <row r="122" spans="1:7" x14ac:dyDescent="0.25">
      <c r="A122" s="2" t="s">
        <v>1017</v>
      </c>
      <c r="B122" s="2" t="s">
        <v>879</v>
      </c>
      <c r="C122" s="2" t="s">
        <v>879</v>
      </c>
      <c r="F122" s="2" t="s">
        <v>216</v>
      </c>
    </row>
    <row r="123" spans="1:7" x14ac:dyDescent="0.25">
      <c r="A123" s="2" t="s">
        <v>1018</v>
      </c>
      <c r="B123" s="2" t="s">
        <v>879</v>
      </c>
      <c r="C123" s="2" t="s">
        <v>879</v>
      </c>
      <c r="F123" s="2" t="s">
        <v>215</v>
      </c>
    </row>
    <row r="124" spans="1:7" x14ac:dyDescent="0.25">
      <c r="A124" s="2" t="s">
        <v>1019</v>
      </c>
      <c r="B124" s="2" t="s">
        <v>879</v>
      </c>
      <c r="C124" s="2" t="s">
        <v>879</v>
      </c>
      <c r="F124" s="2" t="s">
        <v>214</v>
      </c>
    </row>
    <row r="125" spans="1:7" x14ac:dyDescent="0.25">
      <c r="A125" s="2" t="s">
        <v>1020</v>
      </c>
      <c r="B125" s="2" t="s">
        <v>879</v>
      </c>
      <c r="C125" s="2" t="s">
        <v>879</v>
      </c>
      <c r="F125" s="2" t="s">
        <v>213</v>
      </c>
    </row>
    <row r="126" spans="1:7" x14ac:dyDescent="0.25">
      <c r="A126" s="2" t="s">
        <v>1021</v>
      </c>
      <c r="B126" s="2" t="s">
        <v>879</v>
      </c>
      <c r="C126" s="2" t="s">
        <v>879</v>
      </c>
      <c r="F126" s="2" t="s">
        <v>212</v>
      </c>
    </row>
    <row r="127" spans="1:7" x14ac:dyDescent="0.25">
      <c r="A127" s="2" t="s">
        <v>1022</v>
      </c>
      <c r="B127" s="2" t="s">
        <v>879</v>
      </c>
      <c r="C127" s="2" t="s">
        <v>879</v>
      </c>
      <c r="F127" s="2" t="s">
        <v>211</v>
      </c>
    </row>
    <row r="128" spans="1:7" x14ac:dyDescent="0.25">
      <c r="A128" s="2" t="s">
        <v>1023</v>
      </c>
      <c r="B128" s="2" t="s">
        <v>879</v>
      </c>
      <c r="C128" s="2" t="s">
        <v>879</v>
      </c>
      <c r="F128" s="2" t="s">
        <v>210</v>
      </c>
    </row>
    <row r="129" spans="1:6" x14ac:dyDescent="0.25">
      <c r="A129" s="2" t="s">
        <v>1024</v>
      </c>
      <c r="B129" s="2" t="s">
        <v>879</v>
      </c>
      <c r="C129" s="2" t="s">
        <v>879</v>
      </c>
      <c r="F129" s="2" t="s">
        <v>209</v>
      </c>
    </row>
    <row r="130" spans="1:6" x14ac:dyDescent="0.25">
      <c r="A130" s="2" t="s">
        <v>1025</v>
      </c>
      <c r="B130" s="2" t="s">
        <v>879</v>
      </c>
      <c r="C130" s="2" t="s">
        <v>879</v>
      </c>
      <c r="F130" s="2" t="s">
        <v>208</v>
      </c>
    </row>
    <row r="131" spans="1:6" x14ac:dyDescent="0.25">
      <c r="A131" s="2" t="s">
        <v>1026</v>
      </c>
      <c r="B131" s="2" t="s">
        <v>879</v>
      </c>
      <c r="C131" s="2" t="s">
        <v>879</v>
      </c>
      <c r="F131" s="2" t="s">
        <v>207</v>
      </c>
    </row>
    <row r="132" spans="1:6" x14ac:dyDescent="0.25">
      <c r="A132" s="2" t="s">
        <v>1027</v>
      </c>
      <c r="B132" s="2" t="s">
        <v>879</v>
      </c>
      <c r="C132" s="2" t="s">
        <v>879</v>
      </c>
      <c r="F132" s="2" t="s">
        <v>206</v>
      </c>
    </row>
    <row r="133" spans="1:6" x14ac:dyDescent="0.25">
      <c r="A133" s="2" t="s">
        <v>1028</v>
      </c>
      <c r="B133" s="2" t="s">
        <v>879</v>
      </c>
      <c r="C133" s="2" t="s">
        <v>879</v>
      </c>
      <c r="F133" s="2" t="s">
        <v>205</v>
      </c>
    </row>
    <row r="134" spans="1:6" x14ac:dyDescent="0.25">
      <c r="A134" s="2" t="s">
        <v>1029</v>
      </c>
      <c r="B134" s="2" t="s">
        <v>879</v>
      </c>
      <c r="C134" s="2" t="s">
        <v>879</v>
      </c>
      <c r="F134" s="2" t="s">
        <v>204</v>
      </c>
    </row>
    <row r="135" spans="1:6" x14ac:dyDescent="0.25">
      <c r="A135" s="2" t="s">
        <v>1030</v>
      </c>
      <c r="B135" s="2" t="s">
        <v>879</v>
      </c>
      <c r="C135" s="2" t="s">
        <v>879</v>
      </c>
      <c r="F135" s="2" t="s">
        <v>203</v>
      </c>
    </row>
    <row r="136" spans="1:6" x14ac:dyDescent="0.25">
      <c r="A136" s="2" t="s">
        <v>1031</v>
      </c>
      <c r="B136" s="2" t="s">
        <v>879</v>
      </c>
      <c r="C136" s="2" t="s">
        <v>879</v>
      </c>
      <c r="F136" s="2" t="s">
        <v>202</v>
      </c>
    </row>
    <row r="137" spans="1:6" x14ac:dyDescent="0.25">
      <c r="A137" s="2" t="s">
        <v>1032</v>
      </c>
      <c r="B137" s="2" t="s">
        <v>879</v>
      </c>
      <c r="C137" s="2" t="s">
        <v>879</v>
      </c>
      <c r="F137" s="2" t="s">
        <v>201</v>
      </c>
    </row>
    <row r="138" spans="1:6" x14ac:dyDescent="0.25">
      <c r="A138" s="2" t="s">
        <v>1033</v>
      </c>
      <c r="B138" s="2" t="s">
        <v>879</v>
      </c>
      <c r="C138" s="2" t="s">
        <v>879</v>
      </c>
      <c r="F138" s="2" t="s">
        <v>200</v>
      </c>
    </row>
    <row r="139" spans="1:6" x14ac:dyDescent="0.25">
      <c r="A139" s="2" t="s">
        <v>1034</v>
      </c>
      <c r="B139" s="2" t="s">
        <v>879</v>
      </c>
      <c r="C139" s="2" t="s">
        <v>879</v>
      </c>
      <c r="F139" s="2" t="s">
        <v>199</v>
      </c>
    </row>
    <row r="140" spans="1:6" x14ac:dyDescent="0.25">
      <c r="A140" s="2" t="s">
        <v>1035</v>
      </c>
      <c r="B140" s="2" t="s">
        <v>879</v>
      </c>
      <c r="C140" s="2" t="s">
        <v>879</v>
      </c>
      <c r="F140" s="2" t="s">
        <v>198</v>
      </c>
    </row>
    <row r="141" spans="1:6" x14ac:dyDescent="0.25">
      <c r="A141" s="2" t="s">
        <v>1036</v>
      </c>
      <c r="B141" s="2" t="s">
        <v>879</v>
      </c>
      <c r="C141" s="2" t="s">
        <v>879</v>
      </c>
      <c r="F141" s="2" t="s">
        <v>197</v>
      </c>
    </row>
    <row r="142" spans="1:6" x14ac:dyDescent="0.25">
      <c r="A142" s="2" t="s">
        <v>1037</v>
      </c>
      <c r="B142" s="2" t="s">
        <v>879</v>
      </c>
      <c r="C142" s="2" t="s">
        <v>879</v>
      </c>
      <c r="F142" s="2" t="s">
        <v>196</v>
      </c>
    </row>
    <row r="143" spans="1:6" x14ac:dyDescent="0.25">
      <c r="A143" s="2" t="s">
        <v>1038</v>
      </c>
      <c r="B143" s="2" t="s">
        <v>879</v>
      </c>
      <c r="C143" s="2" t="s">
        <v>879</v>
      </c>
      <c r="F143" s="2" t="s">
        <v>195</v>
      </c>
    </row>
    <row r="144" spans="1:6" x14ac:dyDescent="0.25">
      <c r="A144" s="2" t="s">
        <v>1039</v>
      </c>
      <c r="B144" s="2" t="s">
        <v>879</v>
      </c>
      <c r="C144" s="2" t="s">
        <v>879</v>
      </c>
      <c r="F144" s="2" t="s">
        <v>194</v>
      </c>
    </row>
    <row r="145" spans="1:6" x14ac:dyDescent="0.25">
      <c r="A145" s="2" t="s">
        <v>1040</v>
      </c>
      <c r="B145" s="2" t="s">
        <v>879</v>
      </c>
      <c r="C145" s="2" t="s">
        <v>879</v>
      </c>
      <c r="F145" s="2" t="s">
        <v>193</v>
      </c>
    </row>
    <row r="146" spans="1:6" x14ac:dyDescent="0.25">
      <c r="A146" s="2" t="s">
        <v>1041</v>
      </c>
      <c r="B146" s="2" t="s">
        <v>879</v>
      </c>
      <c r="C146" s="2" t="s">
        <v>879</v>
      </c>
      <c r="F146" s="2" t="s">
        <v>192</v>
      </c>
    </row>
    <row r="147" spans="1:6" x14ac:dyDescent="0.25">
      <c r="A147" s="2" t="s">
        <v>1042</v>
      </c>
      <c r="B147" s="2" t="s">
        <v>879</v>
      </c>
      <c r="C147" s="2" t="s">
        <v>879</v>
      </c>
      <c r="F147" s="2" t="s">
        <v>191</v>
      </c>
    </row>
    <row r="148" spans="1:6" x14ac:dyDescent="0.25">
      <c r="A148" s="2" t="s">
        <v>1043</v>
      </c>
      <c r="B148" s="2" t="s">
        <v>879</v>
      </c>
      <c r="C148" s="2" t="s">
        <v>879</v>
      </c>
      <c r="F148" s="2" t="s">
        <v>190</v>
      </c>
    </row>
    <row r="149" spans="1:6" x14ac:dyDescent="0.25">
      <c r="A149" s="2" t="s">
        <v>1044</v>
      </c>
      <c r="B149" s="2" t="s">
        <v>879</v>
      </c>
      <c r="C149" s="2" t="s">
        <v>879</v>
      </c>
      <c r="F149" s="2" t="s">
        <v>189</v>
      </c>
    </row>
    <row r="150" spans="1:6" x14ac:dyDescent="0.25">
      <c r="A150" s="2" t="s">
        <v>1045</v>
      </c>
      <c r="B150" s="2" t="s">
        <v>879</v>
      </c>
      <c r="C150" s="2" t="s">
        <v>879</v>
      </c>
      <c r="F150" s="2" t="s">
        <v>188</v>
      </c>
    </row>
    <row r="151" spans="1:6" x14ac:dyDescent="0.25">
      <c r="A151" s="2" t="s">
        <v>1046</v>
      </c>
      <c r="B151" s="2" t="s">
        <v>879</v>
      </c>
      <c r="C151" s="2" t="s">
        <v>879</v>
      </c>
      <c r="F151" s="2" t="s">
        <v>187</v>
      </c>
    </row>
    <row r="152" spans="1:6" x14ac:dyDescent="0.25">
      <c r="A152" s="2" t="s">
        <v>1047</v>
      </c>
      <c r="B152" s="2" t="s">
        <v>879</v>
      </c>
      <c r="C152" s="2" t="s">
        <v>879</v>
      </c>
      <c r="F152" s="2" t="s">
        <v>186</v>
      </c>
    </row>
    <row r="153" spans="1:6" x14ac:dyDescent="0.25">
      <c r="A153" s="2" t="s">
        <v>1048</v>
      </c>
      <c r="B153" s="2" t="s">
        <v>879</v>
      </c>
      <c r="C153" s="2" t="s">
        <v>879</v>
      </c>
      <c r="F153" s="2" t="s">
        <v>185</v>
      </c>
    </row>
    <row r="154" spans="1:6" x14ac:dyDescent="0.25">
      <c r="A154" s="2" t="s">
        <v>1049</v>
      </c>
      <c r="B154" s="2" t="s">
        <v>879</v>
      </c>
      <c r="C154" s="2" t="s">
        <v>879</v>
      </c>
      <c r="F154" s="2" t="s">
        <v>184</v>
      </c>
    </row>
    <row r="155" spans="1:6" x14ac:dyDescent="0.25">
      <c r="A155" s="2" t="s">
        <v>1050</v>
      </c>
      <c r="B155" s="2" t="s">
        <v>879</v>
      </c>
      <c r="C155" s="2" t="s">
        <v>879</v>
      </c>
      <c r="F155" s="2" t="s">
        <v>183</v>
      </c>
    </row>
    <row r="156" spans="1:6" x14ac:dyDescent="0.25">
      <c r="A156" s="2" t="s">
        <v>1051</v>
      </c>
      <c r="B156" s="2" t="s">
        <v>879</v>
      </c>
      <c r="C156" s="2" t="s">
        <v>879</v>
      </c>
    </row>
    <row r="157" spans="1:6" x14ac:dyDescent="0.25">
      <c r="A157" s="2" t="s">
        <v>1052</v>
      </c>
      <c r="B157" s="2" t="s">
        <v>879</v>
      </c>
      <c r="C157" s="2" t="s">
        <v>879</v>
      </c>
    </row>
    <row r="158" spans="1:6" x14ac:dyDescent="0.25">
      <c r="A158" s="2" t="s">
        <v>1053</v>
      </c>
      <c r="B158" s="2" t="s">
        <v>879</v>
      </c>
      <c r="C158" s="2" t="s">
        <v>879</v>
      </c>
    </row>
    <row r="159" spans="1:6" x14ac:dyDescent="0.25">
      <c r="A159" s="2" t="s">
        <v>1054</v>
      </c>
      <c r="B159" s="2" t="s">
        <v>879</v>
      </c>
      <c r="C159" s="2" t="s">
        <v>879</v>
      </c>
    </row>
    <row r="160" spans="1:6" x14ac:dyDescent="0.25">
      <c r="A160" s="2" t="s">
        <v>1055</v>
      </c>
      <c r="B160" s="2" t="s">
        <v>879</v>
      </c>
      <c r="C160" s="2" t="s">
        <v>879</v>
      </c>
    </row>
    <row r="161" spans="1:3" x14ac:dyDescent="0.25">
      <c r="A161" s="2" t="s">
        <v>1056</v>
      </c>
      <c r="B161" s="2" t="s">
        <v>879</v>
      </c>
      <c r="C161" s="2" t="s">
        <v>879</v>
      </c>
    </row>
    <row r="162" spans="1:3" x14ac:dyDescent="0.25">
      <c r="A162" s="2" t="s">
        <v>1057</v>
      </c>
      <c r="B162" s="2" t="s">
        <v>879</v>
      </c>
      <c r="C162" s="2" t="s">
        <v>879</v>
      </c>
    </row>
    <row r="163" spans="1:3" x14ac:dyDescent="0.25">
      <c r="A163" s="2" t="s">
        <v>1058</v>
      </c>
      <c r="B163" s="2" t="s">
        <v>879</v>
      </c>
      <c r="C163" s="2" t="s">
        <v>879</v>
      </c>
    </row>
    <row r="164" spans="1:3" x14ac:dyDescent="0.25">
      <c r="A164" s="2" t="s">
        <v>1059</v>
      </c>
      <c r="B164" s="2" t="s">
        <v>879</v>
      </c>
      <c r="C164" s="2" t="s">
        <v>879</v>
      </c>
    </row>
    <row r="165" spans="1:3" x14ac:dyDescent="0.25">
      <c r="A165" s="2" t="s">
        <v>1060</v>
      </c>
      <c r="B165" s="2" t="s">
        <v>879</v>
      </c>
      <c r="C165" s="2" t="s">
        <v>879</v>
      </c>
    </row>
    <row r="166" spans="1:3" x14ac:dyDescent="0.25">
      <c r="A166" s="2" t="s">
        <v>1061</v>
      </c>
      <c r="B166" s="2" t="s">
        <v>879</v>
      </c>
      <c r="C166" s="2" t="s">
        <v>879</v>
      </c>
    </row>
    <row r="167" spans="1:3" x14ac:dyDescent="0.25">
      <c r="A167" s="2" t="s">
        <v>1062</v>
      </c>
      <c r="B167" s="2" t="s">
        <v>879</v>
      </c>
      <c r="C167" s="2" t="s">
        <v>879</v>
      </c>
    </row>
    <row r="168" spans="1:3" x14ac:dyDescent="0.25">
      <c r="A168" s="2" t="s">
        <v>1063</v>
      </c>
      <c r="B168" s="2" t="s">
        <v>879</v>
      </c>
      <c r="C168" s="2" t="s">
        <v>879</v>
      </c>
    </row>
    <row r="169" spans="1:3" x14ac:dyDescent="0.25">
      <c r="A169" s="2" t="s">
        <v>1064</v>
      </c>
      <c r="B169" s="2" t="s">
        <v>879</v>
      </c>
      <c r="C169" s="2" t="s">
        <v>879</v>
      </c>
    </row>
    <row r="170" spans="1:3" x14ac:dyDescent="0.25">
      <c r="A170" s="2" t="s">
        <v>1065</v>
      </c>
      <c r="B170" s="2" t="s">
        <v>879</v>
      </c>
      <c r="C170" s="2" t="s">
        <v>879</v>
      </c>
    </row>
    <row r="171" spans="1:3" x14ac:dyDescent="0.25">
      <c r="A171" s="2" t="s">
        <v>1066</v>
      </c>
      <c r="B171" s="2" t="s">
        <v>879</v>
      </c>
      <c r="C171" s="2" t="s">
        <v>879</v>
      </c>
    </row>
    <row r="172" spans="1:3" x14ac:dyDescent="0.25">
      <c r="A172" s="2" t="s">
        <v>1067</v>
      </c>
      <c r="B172" s="2" t="s">
        <v>879</v>
      </c>
      <c r="C172" s="2" t="s">
        <v>879</v>
      </c>
    </row>
    <row r="173" spans="1:3" x14ac:dyDescent="0.25">
      <c r="A173" s="2" t="s">
        <v>1068</v>
      </c>
      <c r="B173" s="2" t="s">
        <v>879</v>
      </c>
      <c r="C173" s="2" t="s">
        <v>879</v>
      </c>
    </row>
    <row r="174" spans="1:3" x14ac:dyDescent="0.25">
      <c r="A174" s="2" t="s">
        <v>1069</v>
      </c>
      <c r="B174" s="2" t="s">
        <v>879</v>
      </c>
      <c r="C174" s="2" t="s">
        <v>879</v>
      </c>
    </row>
    <row r="175" spans="1:3" x14ac:dyDescent="0.25">
      <c r="A175" s="2" t="s">
        <v>1070</v>
      </c>
      <c r="B175" s="2" t="s">
        <v>879</v>
      </c>
      <c r="C175" s="2" t="s">
        <v>879</v>
      </c>
    </row>
    <row r="176" spans="1:3" x14ac:dyDescent="0.25">
      <c r="A176" s="2" t="s">
        <v>1071</v>
      </c>
      <c r="B176" s="2" t="s">
        <v>879</v>
      </c>
      <c r="C176" s="2" t="s">
        <v>879</v>
      </c>
    </row>
    <row r="177" spans="1:3" x14ac:dyDescent="0.25">
      <c r="A177" s="2" t="s">
        <v>1072</v>
      </c>
      <c r="B177" s="2" t="s">
        <v>879</v>
      </c>
      <c r="C177" s="2" t="s">
        <v>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Final</vt:lpstr>
      <vt:lpstr>FinalBackup</vt:lpstr>
      <vt:lpstr>BaseUP</vt:lpstr>
      <vt:lpstr>ACRaw</vt:lpstr>
      <vt:lpstr>BaseRaw</vt:lpstr>
      <vt:lpstr>Dictionary</vt:lpstr>
      <vt:lpstr>AgenticDict</vt:lpstr>
      <vt:lpstr>AgenticTerm</vt:lpstr>
      <vt:lpstr>CommunalDict</vt:lpstr>
      <vt:lpstr>CommunalTerm</vt:lpstr>
      <vt:lpstr>NegativeDict</vt:lpstr>
      <vt:lpstr>NeutralDict</vt:lpstr>
      <vt:lpstr>NeutralTerm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dc:creator>
  <cp:lastModifiedBy>Alfred Yap</cp:lastModifiedBy>
  <dcterms:created xsi:type="dcterms:W3CDTF">2026-07-18T09:04:57Z</dcterms:created>
  <dcterms:modified xsi:type="dcterms:W3CDTF">2026-07-19T13:29:21Z</dcterms:modified>
</cp:coreProperties>
</file>